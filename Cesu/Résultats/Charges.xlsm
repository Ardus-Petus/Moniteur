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faaf1833e02b08b/Développements/Python/Essais/Moniteur/Cesu/Résultats/"/>
    </mc:Choice>
  </mc:AlternateContent>
  <xr:revisionPtr revIDLastSave="123" documentId="8_{04889E79-8A96-4C57-9B0F-4EE2ACCA390C}" xr6:coauthVersionLast="47" xr6:coauthVersionMax="47" xr10:uidLastSave="{E4867756-0D5C-4CC1-A45F-616ECF47F410}"/>
  <bookViews>
    <workbookView xWindow="-96" yWindow="-96" windowWidth="23232" windowHeight="12432" activeTab="4" xr2:uid="{78796158-F9E9-4B25-82FC-FCE0762A21A5}"/>
  </bookViews>
  <sheets>
    <sheet name="Employés" sheetId="10" r:id="rId1"/>
    <sheet name="Prelevements" sheetId="1" r:id="rId2"/>
    <sheet name="Déclarations" sheetId="11" r:id="rId3"/>
    <sheet name="Années" sheetId="9" r:id="rId4"/>
    <sheet name="Résultats" sheetId="8" r:id="rId5"/>
  </sheets>
  <definedNames>
    <definedName name="Année">Résultats!$A$1</definedName>
    <definedName name="DonnéesExternes_1" localSheetId="2" hidden="1">Déclarations!$A$2:$H$27</definedName>
    <definedName name="DonnéesExternes_1" localSheetId="0" hidden="1">Employés!$A$1:$A$4</definedName>
    <definedName name="DonnéesExternes_2" localSheetId="2" hidden="1">Déclarations!$J$2:$Q$22</definedName>
    <definedName name="DonnéesExternes_2" localSheetId="1" hidden="1">Prelevements!$A$2:$C$27</definedName>
    <definedName name="DonnéesExternes_3" localSheetId="2" hidden="1">Déclarations!$S$2:$Z$5</definedName>
    <definedName name="DonnéesExternes_3" localSheetId="1" hidden="1">Prelevements!$E$2:$G$38</definedName>
    <definedName name="DonnéesExternes_4" localSheetId="1" hidden="1">Prelevements!$I$2:$K$14</definedName>
    <definedName name="Validation_annee">OFFSET(Années!$A$2:$A$2,,,COUNTIF(Années!$A$2:$A$15,"&gt;0"))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6" i="8" l="1"/>
  <c r="J1" i="11"/>
  <c r="A1" i="1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" i="1"/>
  <c r="E1" i="1"/>
  <c r="I1" i="1"/>
  <c r="A4" i="8"/>
  <c r="G4" i="8" s="1"/>
  <c r="A5" i="8"/>
  <c r="G5" i="8" s="1"/>
  <c r="A6" i="8"/>
  <c r="H6" i="8" s="1"/>
  <c r="A7" i="8"/>
  <c r="H7" i="8" s="1"/>
  <c r="A8" i="8"/>
  <c r="I8" i="8" s="1"/>
  <c r="A9" i="8"/>
  <c r="G9" i="8" s="1"/>
  <c r="A10" i="8"/>
  <c r="I10" i="8" s="1"/>
  <c r="A11" i="8"/>
  <c r="G11" i="8" s="1"/>
  <c r="A12" i="8"/>
  <c r="G12" i="8" s="1"/>
  <c r="A13" i="8"/>
  <c r="I13" i="8" s="1"/>
  <c r="A14" i="8"/>
  <c r="G14" i="8" s="1"/>
  <c r="A3" i="8"/>
  <c r="I3" i="8" s="1"/>
  <c r="D7" i="8" l="1"/>
  <c r="C9" i="8"/>
  <c r="C7" i="8"/>
  <c r="D10" i="8"/>
  <c r="D11" i="8"/>
  <c r="D9" i="8"/>
  <c r="D8" i="8"/>
  <c r="C13" i="8"/>
  <c r="C12" i="8"/>
  <c r="C11" i="8"/>
  <c r="D14" i="8"/>
  <c r="C10" i="8"/>
  <c r="C14" i="8"/>
  <c r="D13" i="8"/>
  <c r="D12" i="8"/>
  <c r="C8" i="8"/>
  <c r="E12" i="8"/>
  <c r="D6" i="8"/>
  <c r="C6" i="8"/>
  <c r="E11" i="8"/>
  <c r="D5" i="8"/>
  <c r="C5" i="8"/>
  <c r="E3" i="8"/>
  <c r="D4" i="8"/>
  <c r="C4" i="8"/>
  <c r="E14" i="8"/>
  <c r="E13" i="8"/>
  <c r="D3" i="8"/>
  <c r="C3" i="8"/>
  <c r="E10" i="8"/>
  <c r="E9" i="8"/>
  <c r="E8" i="8"/>
  <c r="E7" i="8"/>
  <c r="E6" i="8"/>
  <c r="E5" i="8"/>
  <c r="E4" i="8"/>
  <c r="G6" i="8"/>
  <c r="G7" i="8"/>
  <c r="I9" i="8"/>
  <c r="H13" i="8"/>
  <c r="G13" i="8"/>
  <c r="H9" i="8"/>
  <c r="H5" i="8"/>
  <c r="I5" i="8"/>
  <c r="I12" i="8"/>
  <c r="H8" i="8"/>
  <c r="H12" i="8"/>
  <c r="G8" i="8"/>
  <c r="H10" i="8"/>
  <c r="I6" i="8"/>
  <c r="G10" i="8"/>
  <c r="H3" i="8"/>
  <c r="G3" i="8"/>
  <c r="I14" i="8"/>
  <c r="I11" i="8"/>
  <c r="H14" i="8"/>
  <c r="H11" i="8"/>
  <c r="I4" i="8"/>
  <c r="I7" i="8"/>
  <c r="H4" i="8"/>
  <c r="I16" i="8" l="1"/>
  <c r="G16" i="8"/>
  <c r="D16" i="8"/>
  <c r="E16" i="8"/>
  <c r="C16" i="8"/>
  <c r="H16" i="8"/>
  <c r="E17" i="8" l="1"/>
  <c r="I17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E2FD95-C185-432C-9501-03A8A780F6BF}" keepAlive="1" name="Requête - declarations_EVELYNE CHANTAL SABATIER" description="Connexion à la requête « declarations_EVELYNE CHANTAL SABATIER » dans le classeur." type="5" refreshedVersion="8" background="1" saveData="1">
    <dbPr connection="Provider=Microsoft.Mashup.OleDb.1;Data Source=$Workbook$;Location=&quot;declarations_EVELYNE CHANTAL SABATIER&quot;;Extended Properties=&quot;&quot;" command="SELECT * FROM [declarations_EVELYNE CHANTAL SABATIER]"/>
  </connection>
  <connection id="2" xr16:uid="{9E6B0B8C-83BD-4D6E-8789-BC45F4FC1768}" keepAlive="1" name="Requête - declarations_JULIEN MAZEAU-MAGNETTO" description="Connexion à la requête « declarations_JULIEN MAZEAU-MAGNETTO » dans le classeur." type="5" refreshedVersion="8" background="1" saveData="1">
    <dbPr connection="Provider=Microsoft.Mashup.OleDb.1;Data Source=$Workbook$;Location=&quot;declarations_JULIEN MAZEAU-MAGNETTO&quot;;Extended Properties=&quot;&quot;" command="SELECT * FROM [declarations_JULIEN MAZEAU-MAGNETTO]"/>
  </connection>
  <connection id="3" xr16:uid="{C187F613-56A4-442B-A9A2-44BBCBF5825F}" keepAlive="1" name="Requête - declarations_PASCAL HENRI MITTON" description="Connexion à la requête « declarations_PASCAL HENRI MITTON » dans le classeur." type="5" refreshedVersion="8" background="1" saveData="1">
    <dbPr connection="Provider=Microsoft.Mashup.OleDb.1;Data Source=$Workbook$;Location=&quot;declarations_PASCAL HENRI MITTON&quot;;Extended Properties=&quot;&quot;" command="SELECT * FROM [declarations_PASCAL HENRI MITTON]"/>
  </connection>
  <connection id="4" xr16:uid="{4490F977-33AB-4F26-A4F6-8C4BF198A6D8}" keepAlive="1" name="Requête - employés" description="Connexion à la requête « employés » dans le classeur." type="5" refreshedVersion="8" background="1" saveData="1">
    <dbPr connection="Provider=Microsoft.Mashup.OleDb.1;Data Source=$Workbook$;Location=employés;Extended Properties=&quot;&quot;" command="SELECT * FROM [employés]"/>
  </connection>
  <connection id="5" xr16:uid="{70FA482D-DDFA-4E2C-ADBD-5F07CCDBD24B}" keepAlive="1" name="Requête - Prelevements_EVELYNE CHANTAL SABATIER" description="Connexion à la requête « Prelevements_EVELYNE CHANTAL SABATIER » dans le classeur." type="5" refreshedVersion="8" background="1" saveData="1">
    <dbPr connection="Provider=Microsoft.Mashup.OleDb.1;Data Source=$Workbook$;Location=&quot;Prelevements_EVELYNE CHANTAL SABATIER&quot;;Extended Properties=&quot;&quot;" command="SELECT * FROM [Prelevements_EVELYNE CHANTAL SABATIER]"/>
  </connection>
  <connection id="6" xr16:uid="{2740E14B-14CB-4A0A-8353-ABA71EB207AB}" keepAlive="1" name="Requête - Prelevements_JULIEN MAZEAU-MAGNETTO" description="Connexion à la requête « Prelevements_JULIEN MAZEAU-MAGNETTO » dans le classeur." type="5" refreshedVersion="8" background="1" saveData="1">
    <dbPr connection="Provider=Microsoft.Mashup.OleDb.1;Data Source=$Workbook$;Location=&quot;Prelevements_JULIEN MAZEAU-MAGNETTO&quot;;Extended Properties=&quot;&quot;" command="SELECT * FROM [Prelevements_JULIEN MAZEAU-MAGNETTO]"/>
  </connection>
  <connection id="7" xr16:uid="{84098EA3-251D-4B23-9AAD-44D432AB209B}" keepAlive="1" name="Requête - Prelevements_PASCAL HENRI MITTON" description="Connexion à la requête « Prelevements_PASCAL HENRI MITTON » dans le classeur." type="5" refreshedVersion="8" background="1" saveData="1">
    <dbPr connection="Provider=Microsoft.Mashup.OleDb.1;Data Source=$Workbook$;Location=&quot;Prelevements_PASCAL HENRI MITTON&quot;;Extended Properties=&quot;&quot;" command="SELECT * FROM [Prelevements_PASCAL HENRI MITTON]"/>
  </connection>
</connections>
</file>

<file path=xl/sharedStrings.xml><?xml version="1.0" encoding="utf-8"?>
<sst xmlns="http://schemas.openxmlformats.org/spreadsheetml/2006/main" count="95" uniqueCount="23">
  <si>
    <t>Employé</t>
  </si>
  <si>
    <t>PASCAL HENRI MITTON</t>
  </si>
  <si>
    <t>JULIEN MAZEAU-MAGNETTO</t>
  </si>
  <si>
    <t>EVELYNE CHANTAL SABATIER</t>
  </si>
  <si>
    <t>Période</t>
  </si>
  <si>
    <t>Montant</t>
  </si>
  <si>
    <t>Déclaration</t>
  </si>
  <si>
    <t>Julien</t>
  </si>
  <si>
    <t>Mitton</t>
  </si>
  <si>
    <t>Evelyne</t>
  </si>
  <si>
    <t>Annee</t>
  </si>
  <si>
    <t>Salaires</t>
  </si>
  <si>
    <t>Charges</t>
  </si>
  <si>
    <t>periode</t>
  </si>
  <si>
    <t>nature_act</t>
  </si>
  <si>
    <t>declaration</t>
  </si>
  <si>
    <t>heures</t>
  </si>
  <si>
    <t>salaire_horaire</t>
  </si>
  <si>
    <t>complements</t>
  </si>
  <si>
    <t>total_net_declare</t>
  </si>
  <si>
    <t>total_net_paye</t>
  </si>
  <si>
    <t>Entretien de la maison et travaux ménagers</t>
  </si>
  <si>
    <t>Petit jardinage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</si>
</sst>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mmm\ yyyy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center"/>
    </xf>
    <xf numFmtId="165" fontId="0" fillId="3" borderId="2" xfId="0" applyNumberFormat="1" applyFill="1" applyBorder="1" applyAlignment="1">
      <alignment horizontal="left"/>
    </xf>
    <xf numFmtId="165" fontId="0" fillId="0" borderId="2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14" fontId="0" fillId="0" borderId="0" xfId="0" applyNumberFormat="1"/>
    <xf numFmtId="2" fontId="0" fillId="0" borderId="0" xfId="0" applyNumberFormat="1"/>
    <xf numFmtId="0" fontId="1" fillId="4" borderId="2" xfId="0" applyFont="1" applyFill="1" applyBorder="1" applyAlignment="1">
      <alignment horizontal="center"/>
    </xf>
    <xf numFmtId="0" fontId="2" fillId="5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1" fillId="0" borderId="2" xfId="0" applyFont="1" applyBorder="1" applyAlignment="1">
      <alignment horizontal="center"/>
    </xf>
    <xf numFmtId="164" fontId="2" fillId="0" borderId="0" xfId="0" applyNumberFormat="1" applyFont="1" applyAlignment="1">
      <alignment horizontal="left"/>
    </xf>
    <xf numFmtId="164" fontId="1" fillId="4" borderId="0" xfId="0" applyNumberFormat="1" applyFont="1" applyFill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64" fontId="0" fillId="0" borderId="2" xfId="0" applyNumberFormat="1" applyBorder="1" applyAlignment="1">
      <alignment horizontal="right"/>
    </xf>
    <xf numFmtId="164" fontId="0" fillId="0" borderId="4" xfId="0" applyNumberFormat="1" applyBorder="1" applyAlignment="1">
      <alignment horizontal="left"/>
    </xf>
    <xf numFmtId="164" fontId="0" fillId="0" borderId="4" xfId="0" applyNumberFormat="1" applyBorder="1"/>
    <xf numFmtId="164" fontId="0" fillId="0" borderId="2" xfId="0" applyNumberFormat="1" applyBorder="1"/>
    <xf numFmtId="164" fontId="0" fillId="0" borderId="4" xfId="0" applyNumberFormat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5" xfId="0" applyNumberFormat="1" applyBorder="1" applyAlignment="1">
      <alignment horizontal="lef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164" fontId="2" fillId="0" borderId="0" xfId="0" applyNumberFormat="1" applyFont="1" applyAlignment="1">
      <alignment horizontal="right"/>
    </xf>
    <xf numFmtId="164" fontId="2" fillId="5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6" borderId="0" xfId="0" applyFill="1" applyAlignment="1">
      <alignment horizontal="center"/>
    </xf>
  </cellXfs>
  <cellStyles count="1">
    <cellStyle name="Normal" xfId="0" builtinId="0"/>
  </cellStyles>
  <dxfs count="25">
    <dxf>
      <numFmt numFmtId="165" formatCode="mmm\ yyyy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  <dxf>
      <numFmt numFmtId="164" formatCode="#,##0.00\ &quot;€&quot;"/>
    </dxf>
    <dxf>
      <numFmt numFmtId="165" formatCode="mmm\ yyyy"/>
    </dxf>
    <dxf>
      <numFmt numFmtId="165" formatCode="mmm\ yyyy"/>
    </dxf>
    <dxf>
      <numFmt numFmtId="165" formatCode="mmm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&quot;€&quot;"/>
      <fill>
        <patternFill patternType="none">
          <fgColor indexed="64"/>
          <bgColor auto="1"/>
        </patternFill>
      </fill>
    </dxf>
    <dxf>
      <numFmt numFmtId="164" formatCode="#,##0.00\ &quot;€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numFmt numFmtId="164" formatCode="#,##0.00\ &quot;€&quot;"/>
      <fill>
        <patternFill patternType="none">
          <fgColor indexed="64"/>
          <bgColor auto="1"/>
        </patternFill>
      </fill>
    </dxf>
    <dxf>
      <numFmt numFmtId="164" formatCode="#,##0.00\ &quot;€&quot;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B5E1D0D5-164F-4EBA-96D6-09AEC540F243}" autoFormatId="16" applyNumberFormats="0" applyBorderFormats="0" applyFontFormats="0" applyPatternFormats="0" applyAlignmentFormats="0" applyWidthHeightFormats="0">
  <queryTableRefresh nextId="2">
    <queryTableFields count="1">
      <queryTableField id="1" name="Employé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5" xr16:uid="{EB40218D-9960-462E-B605-575D6B2ADCE3}" autoFormatId="16" applyNumberFormats="0" applyBorderFormats="0" applyFontFormats="0" applyPatternFormats="0" applyAlignmentFormats="0" applyWidthHeightFormats="0">
  <queryTableRefresh nextId="4">
    <queryTableFields count="3">
      <queryTableField id="1" name="Période" tableColumnId="1"/>
      <queryTableField id="2" name="Montant" tableColumnId="2"/>
      <queryTableField id="3" name="Déclaration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7" xr16:uid="{DFD426ED-AEAA-4C44-A5A0-43A6FDD162DE}" autoFormatId="16" applyNumberFormats="0" applyBorderFormats="0" applyFontFormats="0" applyPatternFormats="0" applyAlignmentFormats="0" applyWidthHeightFormats="0">
  <queryTableRefresh nextId="4">
    <queryTableFields count="3">
      <queryTableField id="1" name="Période" tableColumnId="1"/>
      <queryTableField id="2" name="Montant" tableColumnId="2"/>
      <queryTableField id="3" name="Déclaration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6" xr16:uid="{5D3365B4-389D-457C-8517-FAA6ABD77034}" autoFormatId="16" applyNumberFormats="0" applyBorderFormats="0" applyFontFormats="0" applyPatternFormats="0" applyAlignmentFormats="0" applyWidthHeightFormats="0">
  <queryTableRefresh nextId="4">
    <queryTableFields count="3">
      <queryTableField id="1" name="Période" tableColumnId="1"/>
      <queryTableField id="2" name="Montant" tableColumnId="2"/>
      <queryTableField id="3" name="Déclar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561C10C7-B365-4E53-963D-D6D080BFAA9A}" autoFormatId="16" applyNumberFormats="0" applyBorderFormats="0" applyFontFormats="0" applyPatternFormats="0" applyAlignmentFormats="0" applyWidthHeightFormats="0">
  <queryTableRefresh nextId="9">
    <queryTableFields count="8">
      <queryTableField id="1" name="periode" tableColumnId="1"/>
      <queryTableField id="2" name="nature_act" tableColumnId="2"/>
      <queryTableField id="3" name="declaration" tableColumnId="3"/>
      <queryTableField id="4" name="heures" tableColumnId="4"/>
      <queryTableField id="5" name="salaire_horaire" tableColumnId="5"/>
      <queryTableField id="6" name="complements" tableColumnId="6"/>
      <queryTableField id="7" name="total_net_declare" tableColumnId="7"/>
      <queryTableField id="8" name="total_net_paye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" xr16:uid="{913680C9-CF8F-462C-97CF-54AF9C391AAC}" autoFormatId="16" applyNumberFormats="0" applyBorderFormats="0" applyFontFormats="0" applyPatternFormats="0" applyAlignmentFormats="0" applyWidthHeightFormats="0">
  <queryTableRefresh nextId="9">
    <queryTableFields count="8">
      <queryTableField id="1" name="periode" tableColumnId="1"/>
      <queryTableField id="2" name="nature_act" tableColumnId="2"/>
      <queryTableField id="3" name="declaration" tableColumnId="3"/>
      <queryTableField id="4" name="heures" tableColumnId="4"/>
      <queryTableField id="5" name="salaire_horaire" tableColumnId="5"/>
      <queryTableField id="6" name="complements" tableColumnId="6"/>
      <queryTableField id="7" name="total_net_declare" tableColumnId="7"/>
      <queryTableField id="8" name="total_net_paye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2" xr16:uid="{3E6637D8-AC6C-4878-BAAF-CFB52961949E}" autoFormatId="16" applyNumberFormats="0" applyBorderFormats="0" applyFontFormats="0" applyPatternFormats="0" applyAlignmentFormats="0" applyWidthHeightFormats="0">
  <queryTableRefresh nextId="9">
    <queryTableFields count="8">
      <queryTableField id="1" name="periode" tableColumnId="1"/>
      <queryTableField id="2" name="nature_act" tableColumnId="2"/>
      <queryTableField id="3" name="declaration" tableColumnId="3"/>
      <queryTableField id="4" name="heures" tableColumnId="4"/>
      <queryTableField id="5" name="salaire_horaire" tableColumnId="5"/>
      <queryTableField id="6" name="complements" tableColumnId="6"/>
      <queryTableField id="7" name="total_net_declare" tableColumnId="7"/>
      <queryTableField id="8" name="total_net_pay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1587F2-D77E-47CA-92CF-A75C2E2FC8AA}" name="employés" displayName="employés" ref="A1:A4" tableType="queryTable" totalsRowShown="0">
  <autoFilter ref="A1:A4" xr:uid="{9C1587F2-D77E-47CA-92CF-A75C2E2FC8AA}"/>
  <tableColumns count="1">
    <tableColumn id="1" xr3:uid="{D8F92CF0-CF41-4F83-8532-14F30335FB39}" uniqueName="1" name="Employé" queryTableFieldId="1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F0D3E6-C488-4B8D-ABAF-633C3D806EC9}" name="Prelevements_EVELYNE_CHANTAL_SABATIER" displayName="Prelevements_EVELYNE_CHANTAL_SABATIER" ref="A2:C27" tableType="queryTable" totalsRowShown="0">
  <autoFilter ref="A2:C27" xr:uid="{BFF0D3E6-C488-4B8D-ABAF-633C3D806EC9}"/>
  <tableColumns count="3">
    <tableColumn id="1" xr3:uid="{9306B615-AE7F-485D-B10D-03B86AD8753E}" uniqueName="1" name="Période" queryTableFieldId="1" dataDxfId="6"/>
    <tableColumn id="2" xr3:uid="{A50458CA-8B1C-439E-927C-1AE5E324DBE3}" uniqueName="2" name="Montant" queryTableFieldId="2" dataDxfId="5"/>
    <tableColumn id="3" xr3:uid="{B32091D0-84A6-46AD-AE54-0236F1730B92}" uniqueName="3" name="Déclaration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6BB2BE-4DA7-4BAB-84C1-A74542C8C081}" name="Prelevement_PASCAL_HENRI_MITTON" displayName="Prelevement_PASCAL_HENRI_MITTON" ref="E2:G38" tableType="queryTable" totalsRowShown="0">
  <autoFilter ref="E2:G38" xr:uid="{F86BB2BE-4DA7-4BAB-84C1-A74542C8C081}"/>
  <tableColumns count="3">
    <tableColumn id="1" xr3:uid="{D3DC164F-DC24-4676-A34B-95F85034D2C2}" uniqueName="1" name="Période" queryTableFieldId="1" dataDxfId="7"/>
    <tableColumn id="2" xr3:uid="{F7F6FCBB-6C53-4EF8-BB84-2BBA36CB1296}" uniqueName="2" name="Montant" queryTableFieldId="2"/>
    <tableColumn id="3" xr3:uid="{C0A06209-48E5-43BA-A39A-B77013D66247}" uniqueName="3" name="Déclaration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A4AD06-AB5D-41BC-A908-6B3B8FCD968B}" name="Prelevement_JULIEN_MAZEAU_MAGNETTO" displayName="Prelevement_JULIEN_MAZEAU_MAGNETTO" ref="I2:K14" tableType="queryTable" totalsRowShown="0">
  <autoFilter ref="I2:K14" xr:uid="{3FA4AD06-AB5D-41BC-A908-6B3B8FCD968B}"/>
  <tableColumns count="3">
    <tableColumn id="1" xr3:uid="{67D031E5-4274-478F-B09D-533003E6D3FC}" uniqueName="1" name="Période" queryTableFieldId="1" dataDxfId="8"/>
    <tableColumn id="2" xr3:uid="{F32ECDEA-068C-4E7E-BD61-FB5F013D2B7C}" uniqueName="2" name="Montant" queryTableFieldId="2"/>
    <tableColumn id="3" xr3:uid="{45743EB6-D978-4F31-8FD3-2AA27B0C641D}" uniqueName="3" name="Déclaration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6526A2-2EB7-4DD1-A197-188C2EE08CD1}" name="declarations_EVELYNE_CHANTAL_SABATIER" displayName="declarations_EVELYNE_CHANTAL_SABATIER" ref="A2:H27" tableType="queryTable" totalsRowShown="0">
  <autoFilter ref="A2:H27" xr:uid="{226526A2-2EB7-4DD1-A197-188C2EE08CD1}"/>
  <tableColumns count="8">
    <tableColumn id="1" xr3:uid="{AE485DBF-D17E-4B8A-8074-A851C09957D1}" uniqueName="1" name="periode" queryTableFieldId="1" dataDxfId="0"/>
    <tableColumn id="2" xr3:uid="{0D3B730D-36C3-48A6-8A84-5106E6935D55}" uniqueName="2" name="nature_act" queryTableFieldId="2" dataDxfId="11"/>
    <tableColumn id="3" xr3:uid="{1CA1C0DB-E0EC-4A7B-8E47-1EF264929CD3}" uniqueName="3" name="declaration" queryTableFieldId="3"/>
    <tableColumn id="4" xr3:uid="{A38AD050-51C1-4FE8-BFBE-601E43438FF3}" uniqueName="4" name="heures" queryTableFieldId="4"/>
    <tableColumn id="5" xr3:uid="{0B0861A5-4347-49DC-99FD-CA6E2575044C}" uniqueName="5" name="salaire_horaire" queryTableFieldId="5"/>
    <tableColumn id="6" xr3:uid="{A0405E5D-CB77-4886-AB31-956A46447475}" uniqueName="6" name="complements" queryTableFieldId="6"/>
    <tableColumn id="7" xr3:uid="{23FA9FFB-F270-4A26-BBB1-8FA1A99BD280}" uniqueName="7" name="total_net_declare" queryTableFieldId="7"/>
    <tableColumn id="8" xr3:uid="{F4B575EE-5E33-46DC-A6D6-0F1487D7832D}" uniqueName="8" name="total_net_pay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23166E-BB4C-4EFB-B579-FC391C49819E}" name="declarations_PASCAL_HENRI_MITTON" displayName="declarations_PASCAL_HENRI_MITTON" ref="J2:Q22" tableType="queryTable" totalsRowShown="0">
  <autoFilter ref="J2:Q22" xr:uid="{1723166E-BB4C-4EFB-B579-FC391C49819E}"/>
  <tableColumns count="8">
    <tableColumn id="1" xr3:uid="{E37DBE28-59BB-421D-93CA-56DA3CD72B95}" uniqueName="1" name="periode" queryTableFieldId="1" dataDxfId="1"/>
    <tableColumn id="2" xr3:uid="{CBFA8320-A80D-4502-876A-C74C57E2CE99}" uniqueName="2" name="nature_act" queryTableFieldId="2" dataDxfId="10"/>
    <tableColumn id="3" xr3:uid="{C564EBF2-A2EB-40DE-BBB8-6E4AA15D3841}" uniqueName="3" name="declaration" queryTableFieldId="3"/>
    <tableColumn id="4" xr3:uid="{B72BFAFA-43AF-4BF6-9D79-130247788226}" uniqueName="4" name="heures" queryTableFieldId="4"/>
    <tableColumn id="5" xr3:uid="{86A0F1CB-8724-4DE2-977C-56CAAF67D76E}" uniqueName="5" name="salaire_horaire" queryTableFieldId="5"/>
    <tableColumn id="6" xr3:uid="{C46AC311-54C7-48DA-A6D7-2325E07B095C}" uniqueName="6" name="complements" queryTableFieldId="6"/>
    <tableColumn id="7" xr3:uid="{9406A23B-0530-451B-A16F-FE78B86FC6CD}" uniqueName="7" name="total_net_declare" queryTableFieldId="7"/>
    <tableColumn id="8" xr3:uid="{04F81985-D266-46E1-9924-18EA8BAD2068}" uniqueName="8" name="total_net_paye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232A83-907C-4E22-BC64-131ABCA3347A}" name="declarations_JULIEN_MAZEAU_MAGNETTO" displayName="declarations_JULIEN_MAZEAU_MAGNETTO" ref="S2:Z5" tableType="queryTable" totalsRowShown="0">
  <autoFilter ref="S2:Z5" xr:uid="{1B232A83-907C-4E22-BC64-131ABCA3347A}"/>
  <tableColumns count="8">
    <tableColumn id="1" xr3:uid="{5A5A5E34-708F-4DBA-9F57-85591341F695}" uniqueName="1" name="periode" queryTableFieldId="1" dataDxfId="4"/>
    <tableColumn id="2" xr3:uid="{F34ACC17-163F-472F-93E5-B7414F529A40}" uniqueName="2" name="nature_act" queryTableFieldId="2" dataDxfId="9"/>
    <tableColumn id="3" xr3:uid="{EE11E3DF-75D6-422D-990A-C81BF08E7BD1}" uniqueName="3" name="declaration" queryTableFieldId="3"/>
    <tableColumn id="4" xr3:uid="{EDD37136-567F-4055-BD00-9BAAAAA816E5}" uniqueName="4" name="heures" queryTableFieldId="4"/>
    <tableColumn id="5" xr3:uid="{1B316056-AED0-4E61-8226-4FB2D55F62EF}" uniqueName="5" name="salaire_horaire" queryTableFieldId="5"/>
    <tableColumn id="6" xr3:uid="{E5BE6BAF-B5A1-4384-B290-7A743C037FB5}" uniqueName="6" name="complements" queryTableFieldId="6"/>
    <tableColumn id="7" xr3:uid="{8E0F2D2B-2834-4493-BD7B-9E4F1FDE991C}" uniqueName="7" name="total_net_declare" queryTableFieldId="7" dataDxfId="3"/>
    <tableColumn id="8" xr3:uid="{56BB2AAD-D5C6-4E77-B503-249380686581}" uniqueName="8" name="total_net_paye" queryTableFieldId="8" dataDxf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146A71-4C66-46C9-BA32-B30DCB8D959C}" name="Table_Salaires" displayName="Table_Salaires" ref="C2:E14" totalsRowShown="0" headerRowDxfId="24" dataDxfId="23" tableBorderDxfId="22">
  <autoFilter ref="C2:E14" xr:uid="{4C146A71-4C66-46C9-BA32-B30DCB8D959C}"/>
  <tableColumns count="3">
    <tableColumn id="1" xr3:uid="{68607E15-A27B-49F8-B665-07F230BB8DA4}" name="Julien" dataDxfId="21">
      <calculatedColumnFormula>_xlfn.XLOOKUP($A3,declarations_JULIEN_MAZEAU_MAGNETTO[periode],declarations_JULIEN_MAZEAU_MAGNETTO[total_net_paye],"")</calculatedColumnFormula>
    </tableColumn>
    <tableColumn id="2" xr3:uid="{66085192-24CF-4267-A651-89817E8B7763}" name="Mitton" dataDxfId="20">
      <calculatedColumnFormula>_xlfn.XLOOKUP($A3,declarations_PASCAL_HENRI_MITTON[periode],declarations_PASCAL_HENRI_MITTON[total_net_paye],"")</calculatedColumnFormula>
    </tableColumn>
    <tableColumn id="3" xr3:uid="{A1D1E116-06B5-431E-83A7-88C8CF94D36E}" name="Evelyne" dataDxfId="19">
      <calculatedColumnFormula>_xlfn.XLOOKUP($A3,declarations_EVELYNE_CHANTAL_SABATIER[periode],declarations_EVELYNE_CHANTAL_SABATIER[total_net_paye],"")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FA152C-554F-4EA1-BDFF-7F3620922A68}" name="Table_Charges" displayName="Table_Charges" ref="G2:I14" totalsRowShown="0" headerRowDxfId="18" dataDxfId="17" tableBorderDxfId="16">
  <autoFilter ref="G2:I14" xr:uid="{1CFA152C-554F-4EA1-BDFF-7F3620922A68}"/>
  <tableColumns count="3">
    <tableColumn id="1" xr3:uid="{F1F97604-1314-47FE-B141-8D003C624FFC}" name="Julien" dataDxfId="15">
      <calculatedColumnFormula>_xlfn.XLOOKUP($A3,Prelevement_JULIEN_MAZEAU_MAGNETTO[Période],Prelevement_JULIEN_MAZEAU_MAGNETTO[Montant],"",0,1)</calculatedColumnFormula>
    </tableColumn>
    <tableColumn id="2" xr3:uid="{038E97DE-1B37-4011-B466-112BA1B99C96}" name="Mitton" dataDxfId="14">
      <calculatedColumnFormula>_xlfn.XLOOKUP($A3,Prelevement_PASCAL_HENRI_MITTON[Période],Prelevement_PASCAL_HENRI_MITTON[Montant],"",0,1)</calculatedColumnFormula>
    </tableColumn>
    <tableColumn id="3" xr3:uid="{A212C54A-4271-4D15-9341-03C3114BC8E7}" name="Evelyne" dataDxfId="13">
      <calculatedColumnFormula>_xlfn.XLOOKUP($A3,Prelevements_EVELYNE_CHANTAL_SABATIER[Période],Prelevements_EVELYNE_CHANTAL_SABATIER[Montant],"",0,1)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B7D0D-891A-461B-BD36-7B26CAE8B504}">
  <sheetPr codeName="Feuil1"/>
  <dimension ref="A1:A4"/>
  <sheetViews>
    <sheetView topLeftCell="A4" workbookViewId="0">
      <selection sqref="A1:A4"/>
    </sheetView>
  </sheetViews>
  <sheetFormatPr baseColWidth="10" defaultRowHeight="14.4" x14ac:dyDescent="0.55000000000000004"/>
  <cols>
    <col min="1" max="1" width="23.839843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ED7F1-963F-43E9-86D8-62BB2EC48B3A}">
  <sheetPr codeName="Feuil6"/>
  <dimension ref="A1:K38"/>
  <sheetViews>
    <sheetView topLeftCell="B28" zoomScale="115" zoomScaleNormal="115" workbookViewId="0">
      <selection activeCell="F3" sqref="F3"/>
    </sheetView>
  </sheetViews>
  <sheetFormatPr baseColWidth="10" defaultRowHeight="14.4" x14ac:dyDescent="0.55000000000000004"/>
  <cols>
    <col min="1" max="1" width="9.1015625" style="3" bestFit="1" customWidth="1"/>
    <col min="2" max="2" width="9.5234375" style="1" bestFit="1" customWidth="1"/>
    <col min="3" max="3" width="12.20703125" bestFit="1" customWidth="1"/>
    <col min="4" max="4" width="12.1015625" customWidth="1"/>
    <col min="5" max="5" width="9.1015625" style="3" bestFit="1" customWidth="1"/>
    <col min="6" max="6" width="9.5234375" bestFit="1" customWidth="1"/>
    <col min="7" max="7" width="12.20703125" bestFit="1" customWidth="1"/>
    <col min="8" max="8" width="12.1015625" customWidth="1"/>
    <col min="9" max="9" width="9.1015625" style="3" bestFit="1" customWidth="1"/>
    <col min="10" max="10" width="9.5234375" bestFit="1" customWidth="1"/>
    <col min="11" max="11" width="12.20703125" bestFit="1" customWidth="1"/>
  </cols>
  <sheetData>
    <row r="1" spans="1:11" x14ac:dyDescent="0.55000000000000004">
      <c r="A1" s="31" t="str">
        <f>"Prelevements "&amp;Employés!A4</f>
        <v>Prelevements EVELYNE CHANTAL SABATIER</v>
      </c>
      <c r="B1" s="31"/>
      <c r="C1" s="31"/>
      <c r="E1" s="32" t="str">
        <f>"Prelevements "&amp;Employés!A2</f>
        <v>Prelevements PASCAL HENRI MITTON</v>
      </c>
      <c r="F1" s="32"/>
      <c r="G1" s="32"/>
      <c r="I1" s="32" t="str">
        <f>"Prelevements " &amp;Employés!A3</f>
        <v>Prelevements JULIEN MAZEAU-MAGNETTO</v>
      </c>
      <c r="J1" s="31"/>
      <c r="K1" s="31"/>
    </row>
    <row r="2" spans="1:11" x14ac:dyDescent="0.55000000000000004">
      <c r="A2" s="3" t="s">
        <v>4</v>
      </c>
      <c r="B2" s="1" t="s">
        <v>5</v>
      </c>
      <c r="C2" t="s">
        <v>6</v>
      </c>
      <c r="E2" s="3" t="s">
        <v>4</v>
      </c>
      <c r="F2" t="s">
        <v>5</v>
      </c>
      <c r="G2" t="s">
        <v>6</v>
      </c>
      <c r="I2" s="3" t="s">
        <v>4</v>
      </c>
      <c r="J2" t="s">
        <v>5</v>
      </c>
      <c r="K2" t="s">
        <v>6</v>
      </c>
    </row>
    <row r="3" spans="1:11" x14ac:dyDescent="0.55000000000000004">
      <c r="A3" s="3">
        <v>45474</v>
      </c>
      <c r="B3" s="1">
        <v>13.53</v>
      </c>
      <c r="C3">
        <v>25479</v>
      </c>
      <c r="E3" s="3">
        <v>44621</v>
      </c>
      <c r="F3">
        <v>79.34</v>
      </c>
      <c r="G3">
        <v>5032587</v>
      </c>
      <c r="I3" s="3">
        <v>44774</v>
      </c>
      <c r="J3">
        <v>74.989999999999995</v>
      </c>
      <c r="K3">
        <v>5890055</v>
      </c>
    </row>
    <row r="4" spans="1:11" x14ac:dyDescent="0.55000000000000004">
      <c r="A4" s="3">
        <v>45505</v>
      </c>
      <c r="B4" s="1">
        <v>54.12</v>
      </c>
      <c r="C4">
        <v>3518746</v>
      </c>
      <c r="E4" s="3">
        <v>44652</v>
      </c>
      <c r="F4">
        <v>28.84</v>
      </c>
      <c r="G4">
        <v>5884558</v>
      </c>
      <c r="I4" s="3">
        <v>45078</v>
      </c>
      <c r="J4">
        <v>31.01</v>
      </c>
      <c r="K4">
        <v>6238421</v>
      </c>
    </row>
    <row r="5" spans="1:11" x14ac:dyDescent="0.55000000000000004">
      <c r="A5" s="3">
        <v>45536</v>
      </c>
      <c r="B5" s="1">
        <v>54.12</v>
      </c>
      <c r="C5">
        <v>9826015</v>
      </c>
      <c r="E5" s="3">
        <v>44682</v>
      </c>
      <c r="F5">
        <v>92.33</v>
      </c>
      <c r="G5">
        <v>8337490</v>
      </c>
      <c r="I5" s="3">
        <v>45108</v>
      </c>
      <c r="J5">
        <v>62.03</v>
      </c>
      <c r="K5">
        <v>8810056</v>
      </c>
    </row>
    <row r="6" spans="1:11" x14ac:dyDescent="0.55000000000000004">
      <c r="A6" s="3">
        <v>45566</v>
      </c>
      <c r="B6" s="1">
        <v>56.21</v>
      </c>
      <c r="C6">
        <v>9712270</v>
      </c>
      <c r="E6" s="3">
        <v>44743</v>
      </c>
      <c r="F6">
        <v>92.28</v>
      </c>
      <c r="G6">
        <v>7475662</v>
      </c>
      <c r="I6" s="3">
        <v>45139</v>
      </c>
      <c r="J6">
        <v>93.04</v>
      </c>
      <c r="K6">
        <v>6324184</v>
      </c>
    </row>
    <row r="7" spans="1:11" x14ac:dyDescent="0.55000000000000004">
      <c r="A7" s="3">
        <v>45597</v>
      </c>
      <c r="B7" s="1">
        <v>56.21</v>
      </c>
      <c r="C7">
        <v>7503331</v>
      </c>
      <c r="E7" s="3">
        <v>44835</v>
      </c>
      <c r="F7">
        <v>61.51</v>
      </c>
      <c r="G7">
        <v>6797748</v>
      </c>
      <c r="I7" s="3">
        <v>45170</v>
      </c>
      <c r="J7">
        <v>24.82</v>
      </c>
      <c r="K7">
        <v>4621583</v>
      </c>
    </row>
    <row r="8" spans="1:11" x14ac:dyDescent="0.55000000000000004">
      <c r="A8" s="3">
        <v>45627</v>
      </c>
      <c r="B8" s="1">
        <v>56.21</v>
      </c>
      <c r="C8">
        <v>7301050</v>
      </c>
      <c r="E8" s="3">
        <v>44866</v>
      </c>
      <c r="F8">
        <v>46.15</v>
      </c>
      <c r="G8">
        <v>2523314</v>
      </c>
      <c r="I8" s="3">
        <v>45323</v>
      </c>
      <c r="J8">
        <v>49.44</v>
      </c>
      <c r="K8">
        <v>6939345</v>
      </c>
    </row>
    <row r="9" spans="1:11" x14ac:dyDescent="0.55000000000000004">
      <c r="A9" s="3">
        <v>45658</v>
      </c>
      <c r="B9" s="1">
        <v>64.37</v>
      </c>
      <c r="C9">
        <v>1516405</v>
      </c>
      <c r="E9" s="3">
        <v>44896</v>
      </c>
      <c r="F9">
        <v>23.07</v>
      </c>
      <c r="G9">
        <v>5292830</v>
      </c>
      <c r="I9" s="3">
        <v>45352</v>
      </c>
      <c r="J9">
        <v>24.75</v>
      </c>
      <c r="K9">
        <v>8686769</v>
      </c>
    </row>
    <row r="10" spans="1:11" x14ac:dyDescent="0.55000000000000004">
      <c r="A10" s="3">
        <v>45689</v>
      </c>
      <c r="B10" s="1">
        <v>64.37</v>
      </c>
      <c r="C10">
        <v>973739</v>
      </c>
      <c r="E10" s="3">
        <v>45078</v>
      </c>
      <c r="F10">
        <v>76.31</v>
      </c>
      <c r="G10">
        <v>3403087</v>
      </c>
      <c r="I10" s="3">
        <v>45383</v>
      </c>
      <c r="J10">
        <v>43.99</v>
      </c>
      <c r="K10">
        <v>3523294</v>
      </c>
    </row>
    <row r="11" spans="1:11" x14ac:dyDescent="0.55000000000000004">
      <c r="A11" s="3">
        <v>45717</v>
      </c>
      <c r="B11" s="1">
        <v>64.37</v>
      </c>
      <c r="C11">
        <v>1379371</v>
      </c>
      <c r="E11" s="3">
        <v>45108</v>
      </c>
      <c r="F11">
        <v>30.52</v>
      </c>
      <c r="G11">
        <v>3339352</v>
      </c>
      <c r="I11" s="3">
        <v>45413</v>
      </c>
      <c r="J11">
        <v>21.74</v>
      </c>
      <c r="K11">
        <v>6134298</v>
      </c>
    </row>
    <row r="12" spans="1:11" x14ac:dyDescent="0.55000000000000004">
      <c r="A12" s="3">
        <v>45748</v>
      </c>
      <c r="B12" s="1">
        <v>80.3</v>
      </c>
      <c r="C12">
        <v>1281656</v>
      </c>
      <c r="E12" s="3">
        <v>45170</v>
      </c>
      <c r="F12">
        <v>53.42</v>
      </c>
      <c r="G12">
        <v>2213279</v>
      </c>
      <c r="I12" s="3">
        <v>45444</v>
      </c>
      <c r="J12">
        <v>36.25</v>
      </c>
      <c r="K12">
        <v>3707471</v>
      </c>
    </row>
    <row r="13" spans="1:11" x14ac:dyDescent="0.55000000000000004">
      <c r="A13" s="3">
        <v>45778</v>
      </c>
      <c r="B13" s="1">
        <v>64.41</v>
      </c>
      <c r="C13">
        <v>8617716</v>
      </c>
      <c r="E13" s="3">
        <v>45292</v>
      </c>
      <c r="F13">
        <v>38.049999999999997</v>
      </c>
      <c r="G13">
        <v>2634363</v>
      </c>
      <c r="I13" s="3">
        <v>45474</v>
      </c>
      <c r="J13">
        <v>21.74</v>
      </c>
      <c r="K13">
        <v>626539</v>
      </c>
    </row>
    <row r="14" spans="1:11" x14ac:dyDescent="0.55000000000000004">
      <c r="A14" s="3">
        <v>45809</v>
      </c>
      <c r="B14" s="1">
        <v>64.41</v>
      </c>
      <c r="C14">
        <v>1785486</v>
      </c>
      <c r="E14" s="3">
        <v>45323</v>
      </c>
      <c r="F14">
        <v>22.83</v>
      </c>
      <c r="G14">
        <v>7553748</v>
      </c>
      <c r="I14" s="3">
        <v>45505</v>
      </c>
      <c r="J14">
        <v>36.25</v>
      </c>
      <c r="K14">
        <v>630086</v>
      </c>
    </row>
    <row r="15" spans="1:11" x14ac:dyDescent="0.55000000000000004">
      <c r="A15" s="3">
        <v>45839</v>
      </c>
      <c r="B15" s="1">
        <v>64.41</v>
      </c>
      <c r="C15">
        <v>4088746</v>
      </c>
      <c r="E15" s="3">
        <v>45352</v>
      </c>
      <c r="F15">
        <v>22.83</v>
      </c>
      <c r="G15">
        <v>6178437</v>
      </c>
    </row>
    <row r="16" spans="1:11" x14ac:dyDescent="0.55000000000000004">
      <c r="A16" s="3">
        <v>45870</v>
      </c>
      <c r="B16" s="1">
        <v>48.35</v>
      </c>
      <c r="C16">
        <v>2936036</v>
      </c>
      <c r="E16" s="3">
        <v>45383</v>
      </c>
      <c r="F16">
        <v>30.93</v>
      </c>
      <c r="G16">
        <v>9540651</v>
      </c>
    </row>
    <row r="17" spans="1:7" x14ac:dyDescent="0.55000000000000004">
      <c r="A17" s="3">
        <v>45901</v>
      </c>
      <c r="B17" s="1">
        <v>48.35</v>
      </c>
      <c r="C17">
        <v>9867566</v>
      </c>
      <c r="E17" s="3">
        <v>45413</v>
      </c>
      <c r="F17">
        <v>46.4</v>
      </c>
      <c r="G17">
        <v>2503230</v>
      </c>
    </row>
    <row r="18" spans="1:7" x14ac:dyDescent="0.55000000000000004">
      <c r="A18" s="3">
        <v>45931</v>
      </c>
      <c r="B18" s="1">
        <v>80.36</v>
      </c>
      <c r="C18">
        <v>9905320</v>
      </c>
      <c r="E18" s="3">
        <v>45444</v>
      </c>
      <c r="F18">
        <v>46.4</v>
      </c>
      <c r="G18">
        <v>9751827</v>
      </c>
    </row>
    <row r="19" spans="1:7" x14ac:dyDescent="0.55000000000000004">
      <c r="A19" s="3">
        <v>45992</v>
      </c>
      <c r="B19" s="1">
        <v>32.33</v>
      </c>
      <c r="C19">
        <v>4945228</v>
      </c>
      <c r="E19" s="3">
        <v>45474</v>
      </c>
      <c r="F19">
        <v>46.4</v>
      </c>
      <c r="G19">
        <v>966956</v>
      </c>
    </row>
    <row r="20" spans="1:7" x14ac:dyDescent="0.55000000000000004">
      <c r="A20" s="3">
        <v>45962</v>
      </c>
      <c r="B20" s="1">
        <v>48.54</v>
      </c>
      <c r="C20">
        <v>6705110</v>
      </c>
      <c r="E20" s="3">
        <v>45505</v>
      </c>
      <c r="F20">
        <v>54.12</v>
      </c>
      <c r="G20">
        <v>7604820</v>
      </c>
    </row>
    <row r="21" spans="1:7" x14ac:dyDescent="0.55000000000000004">
      <c r="A21" s="3">
        <v>46023</v>
      </c>
      <c r="B21" s="1">
        <v>32.24</v>
      </c>
      <c r="C21">
        <v>337809</v>
      </c>
      <c r="E21" s="3">
        <v>45566</v>
      </c>
      <c r="F21">
        <v>69.62</v>
      </c>
      <c r="G21">
        <v>3860888</v>
      </c>
    </row>
    <row r="22" spans="1:7" x14ac:dyDescent="0.55000000000000004">
      <c r="A22" s="3">
        <v>46054</v>
      </c>
      <c r="B22" s="1">
        <v>32.24</v>
      </c>
      <c r="C22">
        <v>6136182</v>
      </c>
      <c r="E22" s="3">
        <v>45597</v>
      </c>
      <c r="F22">
        <v>15.47</v>
      </c>
      <c r="G22">
        <v>3779823</v>
      </c>
    </row>
    <row r="23" spans="1:7" x14ac:dyDescent="0.55000000000000004">
      <c r="A23" s="3">
        <v>46082</v>
      </c>
      <c r="B23" s="1">
        <v>32.24</v>
      </c>
      <c r="C23">
        <v>3481366</v>
      </c>
      <c r="E23" s="3">
        <v>45627</v>
      </c>
      <c r="F23">
        <v>23.2</v>
      </c>
      <c r="G23">
        <v>5346802</v>
      </c>
    </row>
    <row r="24" spans="1:7" x14ac:dyDescent="0.55000000000000004">
      <c r="A24" s="3">
        <v>46113</v>
      </c>
      <c r="B24" s="1">
        <v>48.4</v>
      </c>
      <c r="C24">
        <v>6113115</v>
      </c>
      <c r="E24" s="3">
        <v>45658</v>
      </c>
      <c r="F24">
        <v>70.44</v>
      </c>
      <c r="G24">
        <v>5356711</v>
      </c>
    </row>
    <row r="25" spans="1:7" x14ac:dyDescent="0.55000000000000004">
      <c r="A25" s="3">
        <v>46143</v>
      </c>
      <c r="B25" s="1">
        <v>32.24</v>
      </c>
      <c r="C25">
        <v>9655637</v>
      </c>
      <c r="E25" s="3">
        <v>45717</v>
      </c>
      <c r="F25">
        <v>52.81</v>
      </c>
      <c r="G25">
        <v>5031757</v>
      </c>
    </row>
    <row r="26" spans="1:7" x14ac:dyDescent="0.55000000000000004">
      <c r="A26" s="3">
        <v>46174</v>
      </c>
      <c r="B26" s="1">
        <v>32.24</v>
      </c>
      <c r="C26">
        <v>9079261</v>
      </c>
      <c r="E26" s="3">
        <v>45748</v>
      </c>
      <c r="F26">
        <v>52.81</v>
      </c>
      <c r="G26">
        <v>8231554</v>
      </c>
    </row>
    <row r="27" spans="1:7" x14ac:dyDescent="0.55000000000000004">
      <c r="A27" s="3">
        <v>46204</v>
      </c>
      <c r="B27" s="1">
        <v>46.45</v>
      </c>
      <c r="C27">
        <v>6701439</v>
      </c>
      <c r="E27" s="3">
        <v>45778</v>
      </c>
      <c r="F27">
        <v>52.85</v>
      </c>
      <c r="G27">
        <v>9195224</v>
      </c>
    </row>
    <row r="28" spans="1:7" x14ac:dyDescent="0.55000000000000004">
      <c r="E28" s="3">
        <v>45809</v>
      </c>
      <c r="F28">
        <v>52.85</v>
      </c>
      <c r="G28">
        <v>395507</v>
      </c>
    </row>
    <row r="29" spans="1:7" x14ac:dyDescent="0.55000000000000004">
      <c r="E29" s="3">
        <v>45839</v>
      </c>
      <c r="F29">
        <v>26.42</v>
      </c>
      <c r="G29">
        <v>8143904</v>
      </c>
    </row>
    <row r="30" spans="1:7" x14ac:dyDescent="0.55000000000000004">
      <c r="E30" s="3">
        <v>45931</v>
      </c>
      <c r="F30">
        <v>103.69</v>
      </c>
      <c r="G30">
        <v>9979296</v>
      </c>
    </row>
    <row r="31" spans="1:7" x14ac:dyDescent="0.55000000000000004">
      <c r="E31" s="3">
        <v>45901</v>
      </c>
      <c r="F31">
        <v>52.85</v>
      </c>
      <c r="G31">
        <v>1591212</v>
      </c>
    </row>
    <row r="32" spans="1:7" x14ac:dyDescent="0.55000000000000004">
      <c r="E32" s="3">
        <v>45992</v>
      </c>
      <c r="F32">
        <v>26.42</v>
      </c>
      <c r="G32">
        <v>1662385</v>
      </c>
    </row>
    <row r="33" spans="5:7" x14ac:dyDescent="0.55000000000000004">
      <c r="E33" s="3">
        <v>46054</v>
      </c>
      <c r="F33">
        <v>70.28</v>
      </c>
      <c r="G33">
        <v>7749918</v>
      </c>
    </row>
    <row r="34" spans="5:7" x14ac:dyDescent="0.55000000000000004">
      <c r="E34" s="3">
        <v>46082</v>
      </c>
      <c r="F34">
        <v>26.34</v>
      </c>
      <c r="G34">
        <v>920259</v>
      </c>
    </row>
    <row r="35" spans="5:7" x14ac:dyDescent="0.55000000000000004">
      <c r="E35" s="3">
        <v>46113</v>
      </c>
      <c r="F35">
        <v>61.48</v>
      </c>
      <c r="G35">
        <v>2496039</v>
      </c>
    </row>
    <row r="36" spans="5:7" x14ac:dyDescent="0.55000000000000004">
      <c r="E36" s="3">
        <v>46143</v>
      </c>
      <c r="F36">
        <v>78.75</v>
      </c>
      <c r="G36">
        <v>5502243</v>
      </c>
    </row>
    <row r="37" spans="5:7" x14ac:dyDescent="0.55000000000000004">
      <c r="E37" s="3">
        <v>46174</v>
      </c>
      <c r="F37">
        <v>119.75</v>
      </c>
      <c r="G37">
        <v>7940073</v>
      </c>
    </row>
    <row r="38" spans="5:7" x14ac:dyDescent="0.55000000000000004">
      <c r="E38" s="3">
        <v>46204</v>
      </c>
      <c r="F38">
        <v>39.22</v>
      </c>
      <c r="G38">
        <v>9513075</v>
      </c>
    </row>
  </sheetData>
  <mergeCells count="3">
    <mergeCell ref="A1:C1"/>
    <mergeCell ref="E1:G1"/>
    <mergeCell ref="I1:K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28F9-C8D5-4DCB-8E62-71AF68525561}">
  <sheetPr codeName="Feuil2"/>
  <dimension ref="A1:Z27"/>
  <sheetViews>
    <sheetView topLeftCell="P1" workbookViewId="0">
      <selection activeCell="Y1" sqref="Y1:Z1048576"/>
    </sheetView>
  </sheetViews>
  <sheetFormatPr baseColWidth="10" defaultRowHeight="14.4" x14ac:dyDescent="0.55000000000000004"/>
  <cols>
    <col min="1" max="1" width="9.1015625" style="3" bestFit="1" customWidth="1"/>
    <col min="2" max="2" width="34.15625" bestFit="1" customWidth="1"/>
    <col min="3" max="3" width="12.05078125" bestFit="1" customWidth="1"/>
    <col min="4" max="4" width="8.41796875" bestFit="1" customWidth="1"/>
    <col min="5" max="5" width="14.7890625" bestFit="1" customWidth="1"/>
    <col min="6" max="6" width="14.1015625" bestFit="1" customWidth="1"/>
    <col min="7" max="7" width="16.9453125" bestFit="1" customWidth="1"/>
    <col min="8" max="8" width="14.68359375" bestFit="1" customWidth="1"/>
    <col min="10" max="10" width="10" bestFit="1" customWidth="1"/>
    <col min="11" max="11" width="11.83984375" bestFit="1" customWidth="1"/>
    <col min="12" max="12" width="12.05078125" bestFit="1" customWidth="1"/>
    <col min="13" max="13" width="8.41796875" bestFit="1" customWidth="1"/>
    <col min="14" max="14" width="14.7890625" bestFit="1" customWidth="1"/>
    <col min="15" max="15" width="14.1015625" bestFit="1" customWidth="1"/>
    <col min="16" max="16" width="16.9453125" bestFit="1" customWidth="1"/>
    <col min="17" max="17" width="14.68359375" bestFit="1" customWidth="1"/>
    <col min="19" max="19" width="10" bestFit="1" customWidth="1"/>
    <col min="20" max="20" width="11.83984375" bestFit="1" customWidth="1"/>
    <col min="21" max="21" width="12.05078125" bestFit="1" customWidth="1"/>
    <col min="22" max="22" width="8.41796875" bestFit="1" customWidth="1"/>
    <col min="23" max="23" width="14.7890625" bestFit="1" customWidth="1"/>
    <col min="24" max="24" width="14.1015625" bestFit="1" customWidth="1"/>
    <col min="25" max="25" width="16.9453125" style="9" bestFit="1" customWidth="1"/>
    <col min="26" max="26" width="14.68359375" style="9" bestFit="1" customWidth="1"/>
  </cols>
  <sheetData>
    <row r="1" spans="1:26" x14ac:dyDescent="0.55000000000000004">
      <c r="A1" s="33" t="str">
        <f>"Déclarations "&amp;Employés!A4</f>
        <v>Déclarations EVELYNE CHANTAL SABATIER</v>
      </c>
      <c r="B1" s="33"/>
      <c r="C1" s="33"/>
      <c r="D1" s="33"/>
      <c r="E1" s="33"/>
      <c r="F1" s="33"/>
      <c r="G1" s="33"/>
      <c r="H1" s="33"/>
      <c r="J1" s="33" t="str">
        <f>"Déclarations "&amp;Employés!A2</f>
        <v>Déclarations PASCAL HENRI MITTON</v>
      </c>
      <c r="K1" s="33"/>
      <c r="L1" s="33"/>
      <c r="M1" s="33"/>
      <c r="N1" s="33"/>
      <c r="O1" s="33"/>
      <c r="P1" s="33"/>
      <c r="Q1" s="33"/>
    </row>
    <row r="2" spans="1:26" x14ac:dyDescent="0.55000000000000004">
      <c r="A2" s="3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J2" t="s">
        <v>13</v>
      </c>
      <c r="K2" t="s">
        <v>14</v>
      </c>
      <c r="L2" t="s">
        <v>15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S2" t="s">
        <v>13</v>
      </c>
      <c r="T2" t="s">
        <v>14</v>
      </c>
      <c r="U2" t="s">
        <v>15</v>
      </c>
      <c r="V2" t="s">
        <v>16</v>
      </c>
      <c r="W2" t="s">
        <v>17</v>
      </c>
      <c r="X2" t="s">
        <v>18</v>
      </c>
      <c r="Y2" s="9" t="s">
        <v>19</v>
      </c>
      <c r="Z2" s="9" t="s">
        <v>20</v>
      </c>
    </row>
    <row r="3" spans="1:26" x14ac:dyDescent="0.55000000000000004">
      <c r="A3" s="3">
        <v>45474</v>
      </c>
      <c r="B3" t="s">
        <v>21</v>
      </c>
      <c r="C3">
        <v>25479</v>
      </c>
      <c r="D3">
        <v>2</v>
      </c>
      <c r="E3">
        <v>14</v>
      </c>
      <c r="F3">
        <v>0</v>
      </c>
      <c r="G3">
        <v>28</v>
      </c>
      <c r="H3">
        <v>28</v>
      </c>
      <c r="J3" s="8">
        <v>45474</v>
      </c>
      <c r="K3" t="s">
        <v>22</v>
      </c>
      <c r="L3">
        <v>966956</v>
      </c>
      <c r="M3">
        <v>6</v>
      </c>
      <c r="N3">
        <v>16</v>
      </c>
      <c r="O3">
        <v>0</v>
      </c>
      <c r="P3">
        <v>96</v>
      </c>
      <c r="Q3">
        <v>96</v>
      </c>
      <c r="S3" s="8">
        <v>45444</v>
      </c>
      <c r="T3" t="s">
        <v>22</v>
      </c>
      <c r="U3">
        <v>3707471</v>
      </c>
      <c r="V3">
        <v>5</v>
      </c>
      <c r="W3">
        <v>15</v>
      </c>
      <c r="X3">
        <v>0</v>
      </c>
      <c r="Y3" s="9">
        <v>75</v>
      </c>
      <c r="Z3" s="9">
        <v>75</v>
      </c>
    </row>
    <row r="4" spans="1:26" x14ac:dyDescent="0.55000000000000004">
      <c r="A4" s="3">
        <v>45505</v>
      </c>
      <c r="B4" t="s">
        <v>21</v>
      </c>
      <c r="C4">
        <v>3518746</v>
      </c>
      <c r="D4">
        <v>8</v>
      </c>
      <c r="E4">
        <v>14</v>
      </c>
      <c r="F4">
        <v>0</v>
      </c>
      <c r="G4">
        <v>112</v>
      </c>
      <c r="H4">
        <v>112</v>
      </c>
      <c r="J4" s="8">
        <v>45505</v>
      </c>
      <c r="K4" t="s">
        <v>22</v>
      </c>
      <c r="L4">
        <v>7604820</v>
      </c>
      <c r="M4">
        <v>7</v>
      </c>
      <c r="N4">
        <v>16</v>
      </c>
      <c r="O4">
        <v>0</v>
      </c>
      <c r="P4">
        <v>112</v>
      </c>
      <c r="Q4">
        <v>112</v>
      </c>
      <c r="S4" s="8">
        <v>45474</v>
      </c>
      <c r="T4" t="s">
        <v>22</v>
      </c>
      <c r="U4">
        <v>626539</v>
      </c>
      <c r="V4">
        <v>3</v>
      </c>
      <c r="W4">
        <v>15</v>
      </c>
      <c r="X4">
        <v>0</v>
      </c>
      <c r="Y4" s="9">
        <v>45</v>
      </c>
      <c r="Z4" s="9">
        <v>45</v>
      </c>
    </row>
    <row r="5" spans="1:26" x14ac:dyDescent="0.55000000000000004">
      <c r="A5" s="3">
        <v>45536</v>
      </c>
      <c r="B5" t="s">
        <v>21</v>
      </c>
      <c r="C5">
        <v>9826015</v>
      </c>
      <c r="D5">
        <v>8</v>
      </c>
      <c r="E5">
        <v>14</v>
      </c>
      <c r="F5">
        <v>0</v>
      </c>
      <c r="G5">
        <v>112</v>
      </c>
      <c r="H5">
        <v>112</v>
      </c>
      <c r="J5" s="8">
        <v>45566</v>
      </c>
      <c r="K5" t="s">
        <v>22</v>
      </c>
      <c r="L5">
        <v>3860888</v>
      </c>
      <c r="M5">
        <v>9</v>
      </c>
      <c r="N5">
        <v>16</v>
      </c>
      <c r="O5">
        <v>0</v>
      </c>
      <c r="P5">
        <v>144</v>
      </c>
      <c r="Q5">
        <v>144</v>
      </c>
      <c r="S5" s="8">
        <v>45505</v>
      </c>
      <c r="T5" t="s">
        <v>22</v>
      </c>
      <c r="U5">
        <v>630086</v>
      </c>
      <c r="V5">
        <v>5</v>
      </c>
      <c r="W5">
        <v>15</v>
      </c>
      <c r="X5">
        <v>0</v>
      </c>
      <c r="Y5" s="9">
        <v>75</v>
      </c>
      <c r="Z5" s="9">
        <v>75</v>
      </c>
    </row>
    <row r="6" spans="1:26" x14ac:dyDescent="0.55000000000000004">
      <c r="A6" s="3">
        <v>45566</v>
      </c>
      <c r="B6" t="s">
        <v>21</v>
      </c>
      <c r="C6">
        <v>9712270</v>
      </c>
      <c r="D6">
        <v>8</v>
      </c>
      <c r="E6">
        <v>14</v>
      </c>
      <c r="F6">
        <v>0</v>
      </c>
      <c r="G6">
        <v>112</v>
      </c>
      <c r="H6">
        <v>109.91</v>
      </c>
      <c r="J6" s="8">
        <v>45597</v>
      </c>
      <c r="K6" t="s">
        <v>22</v>
      </c>
      <c r="L6">
        <v>3779823</v>
      </c>
      <c r="M6">
        <v>2</v>
      </c>
      <c r="N6">
        <v>16</v>
      </c>
      <c r="O6">
        <v>0</v>
      </c>
      <c r="P6">
        <v>32</v>
      </c>
      <c r="Q6">
        <v>32</v>
      </c>
    </row>
    <row r="7" spans="1:26" x14ac:dyDescent="0.55000000000000004">
      <c r="A7" s="3">
        <v>45597</v>
      </c>
      <c r="B7" t="s">
        <v>21</v>
      </c>
      <c r="C7">
        <v>7503331</v>
      </c>
      <c r="D7">
        <v>8</v>
      </c>
      <c r="E7">
        <v>14</v>
      </c>
      <c r="F7">
        <v>0</v>
      </c>
      <c r="G7">
        <v>112</v>
      </c>
      <c r="H7">
        <v>109.91</v>
      </c>
      <c r="J7" s="8">
        <v>45627</v>
      </c>
      <c r="K7" t="s">
        <v>22</v>
      </c>
      <c r="L7">
        <v>5346802</v>
      </c>
      <c r="M7">
        <v>3</v>
      </c>
      <c r="N7">
        <v>16</v>
      </c>
      <c r="O7">
        <v>0</v>
      </c>
      <c r="P7">
        <v>48</v>
      </c>
      <c r="Q7">
        <v>48</v>
      </c>
    </row>
    <row r="8" spans="1:26" x14ac:dyDescent="0.55000000000000004">
      <c r="A8" s="3">
        <v>45627</v>
      </c>
      <c r="B8" t="s">
        <v>21</v>
      </c>
      <c r="C8">
        <v>7301050</v>
      </c>
      <c r="D8">
        <v>8</v>
      </c>
      <c r="E8">
        <v>14</v>
      </c>
      <c r="F8">
        <v>0</v>
      </c>
      <c r="G8">
        <v>112</v>
      </c>
      <c r="H8">
        <v>109.91</v>
      </c>
      <c r="J8" s="8">
        <v>45658</v>
      </c>
      <c r="K8" t="s">
        <v>22</v>
      </c>
      <c r="L8">
        <v>5356711</v>
      </c>
      <c r="M8">
        <v>8</v>
      </c>
      <c r="N8">
        <v>17</v>
      </c>
      <c r="O8">
        <v>0</v>
      </c>
      <c r="P8">
        <v>136</v>
      </c>
      <c r="Q8">
        <v>136</v>
      </c>
    </row>
    <row r="9" spans="1:26" x14ac:dyDescent="0.55000000000000004">
      <c r="A9" s="3">
        <v>45658</v>
      </c>
      <c r="B9" t="s">
        <v>21</v>
      </c>
      <c r="C9">
        <v>1516405</v>
      </c>
      <c r="D9">
        <v>8</v>
      </c>
      <c r="E9">
        <v>15</v>
      </c>
      <c r="F9">
        <v>0</v>
      </c>
      <c r="G9">
        <v>120</v>
      </c>
      <c r="H9">
        <v>117.76</v>
      </c>
      <c r="J9" s="8">
        <v>45717</v>
      </c>
      <c r="K9" t="s">
        <v>22</v>
      </c>
      <c r="L9">
        <v>5031757</v>
      </c>
      <c r="M9">
        <v>6</v>
      </c>
      <c r="N9">
        <v>17</v>
      </c>
      <c r="O9">
        <v>0</v>
      </c>
      <c r="P9">
        <v>102</v>
      </c>
      <c r="Q9">
        <v>102</v>
      </c>
    </row>
    <row r="10" spans="1:26" x14ac:dyDescent="0.55000000000000004">
      <c r="A10" s="3">
        <v>45689</v>
      </c>
      <c r="B10" t="s">
        <v>21</v>
      </c>
      <c r="C10">
        <v>973739</v>
      </c>
      <c r="D10">
        <v>8</v>
      </c>
      <c r="E10">
        <v>15</v>
      </c>
      <c r="F10">
        <v>0</v>
      </c>
      <c r="G10">
        <v>120</v>
      </c>
      <c r="H10">
        <v>117.76</v>
      </c>
      <c r="J10" s="8">
        <v>45748</v>
      </c>
      <c r="K10" t="s">
        <v>22</v>
      </c>
      <c r="L10">
        <v>8231554</v>
      </c>
      <c r="M10">
        <v>6</v>
      </c>
      <c r="N10">
        <v>17</v>
      </c>
      <c r="O10">
        <v>0</v>
      </c>
      <c r="P10">
        <v>102</v>
      </c>
      <c r="Q10">
        <v>102</v>
      </c>
    </row>
    <row r="11" spans="1:26" x14ac:dyDescent="0.55000000000000004">
      <c r="A11" s="3">
        <v>45717</v>
      </c>
      <c r="B11" t="s">
        <v>21</v>
      </c>
      <c r="C11">
        <v>1379371</v>
      </c>
      <c r="D11">
        <v>8</v>
      </c>
      <c r="E11">
        <v>15</v>
      </c>
      <c r="F11">
        <v>0</v>
      </c>
      <c r="G11">
        <v>120</v>
      </c>
      <c r="H11">
        <v>117.76</v>
      </c>
      <c r="J11" s="8">
        <v>45778</v>
      </c>
      <c r="K11" t="s">
        <v>22</v>
      </c>
      <c r="L11">
        <v>9195224</v>
      </c>
      <c r="M11">
        <v>6</v>
      </c>
      <c r="N11">
        <v>17</v>
      </c>
      <c r="O11">
        <v>0</v>
      </c>
      <c r="P11">
        <v>102</v>
      </c>
      <c r="Q11">
        <v>102</v>
      </c>
    </row>
    <row r="12" spans="1:26" x14ac:dyDescent="0.55000000000000004">
      <c r="A12" s="3">
        <v>45748</v>
      </c>
      <c r="B12" t="s">
        <v>21</v>
      </c>
      <c r="C12">
        <v>1281656</v>
      </c>
      <c r="D12">
        <v>10</v>
      </c>
      <c r="E12">
        <v>15</v>
      </c>
      <c r="F12">
        <v>0</v>
      </c>
      <c r="G12">
        <v>150</v>
      </c>
      <c r="H12">
        <v>147.19999999999999</v>
      </c>
      <c r="J12" s="8">
        <v>45809</v>
      </c>
      <c r="K12" t="s">
        <v>22</v>
      </c>
      <c r="L12">
        <v>395507</v>
      </c>
      <c r="M12">
        <v>6</v>
      </c>
      <c r="N12">
        <v>17</v>
      </c>
      <c r="O12">
        <v>0</v>
      </c>
      <c r="P12">
        <v>102</v>
      </c>
      <c r="Q12">
        <v>102</v>
      </c>
    </row>
    <row r="13" spans="1:26" x14ac:dyDescent="0.55000000000000004">
      <c r="A13" s="3">
        <v>45778</v>
      </c>
      <c r="B13" t="s">
        <v>21</v>
      </c>
      <c r="C13">
        <v>8617716</v>
      </c>
      <c r="D13">
        <v>8</v>
      </c>
      <c r="E13">
        <v>15</v>
      </c>
      <c r="F13">
        <v>0</v>
      </c>
      <c r="G13">
        <v>120</v>
      </c>
      <c r="H13">
        <v>117.76</v>
      </c>
      <c r="J13" s="8">
        <v>45839</v>
      </c>
      <c r="K13" t="s">
        <v>22</v>
      </c>
      <c r="L13">
        <v>8143904</v>
      </c>
      <c r="M13">
        <v>3</v>
      </c>
      <c r="N13">
        <v>17</v>
      </c>
      <c r="O13">
        <v>0</v>
      </c>
      <c r="P13">
        <v>51</v>
      </c>
      <c r="Q13">
        <v>51</v>
      </c>
    </row>
    <row r="14" spans="1:26" x14ac:dyDescent="0.55000000000000004">
      <c r="A14" s="3">
        <v>45809</v>
      </c>
      <c r="B14" t="s">
        <v>21</v>
      </c>
      <c r="C14">
        <v>1785486</v>
      </c>
      <c r="D14">
        <v>8</v>
      </c>
      <c r="E14">
        <v>15</v>
      </c>
      <c r="F14">
        <v>0</v>
      </c>
      <c r="G14">
        <v>120</v>
      </c>
      <c r="H14">
        <v>117.76</v>
      </c>
      <c r="J14" s="8">
        <v>45901</v>
      </c>
      <c r="K14" t="s">
        <v>22</v>
      </c>
      <c r="L14">
        <v>1591212</v>
      </c>
      <c r="M14">
        <v>6</v>
      </c>
      <c r="N14">
        <v>17</v>
      </c>
      <c r="O14">
        <v>0</v>
      </c>
      <c r="P14">
        <v>102</v>
      </c>
      <c r="Q14">
        <v>102</v>
      </c>
    </row>
    <row r="15" spans="1:26" x14ac:dyDescent="0.55000000000000004">
      <c r="A15" s="3">
        <v>45839</v>
      </c>
      <c r="B15" t="s">
        <v>21</v>
      </c>
      <c r="C15">
        <v>4088746</v>
      </c>
      <c r="D15">
        <v>8</v>
      </c>
      <c r="E15">
        <v>15</v>
      </c>
      <c r="F15">
        <v>0</v>
      </c>
      <c r="G15">
        <v>120</v>
      </c>
      <c r="H15">
        <v>117.76</v>
      </c>
      <c r="J15" s="8">
        <v>45931</v>
      </c>
      <c r="K15" t="s">
        <v>22</v>
      </c>
      <c r="L15">
        <v>9979296</v>
      </c>
      <c r="M15">
        <v>12</v>
      </c>
      <c r="N15">
        <v>17</v>
      </c>
      <c r="O15">
        <v>0</v>
      </c>
      <c r="P15">
        <v>204</v>
      </c>
      <c r="Q15">
        <v>204</v>
      </c>
    </row>
    <row r="16" spans="1:26" x14ac:dyDescent="0.55000000000000004">
      <c r="A16" s="3">
        <v>45870</v>
      </c>
      <c r="B16" t="s">
        <v>21</v>
      </c>
      <c r="C16">
        <v>2936036</v>
      </c>
      <c r="D16">
        <v>6</v>
      </c>
      <c r="E16">
        <v>15</v>
      </c>
      <c r="F16">
        <v>0</v>
      </c>
      <c r="G16">
        <v>90</v>
      </c>
      <c r="H16">
        <v>88.32</v>
      </c>
      <c r="J16" s="8">
        <v>45992</v>
      </c>
      <c r="K16" t="s">
        <v>22</v>
      </c>
      <c r="L16">
        <v>1662385</v>
      </c>
      <c r="M16">
        <v>3</v>
      </c>
      <c r="N16">
        <v>17</v>
      </c>
      <c r="O16">
        <v>0</v>
      </c>
      <c r="P16">
        <v>51</v>
      </c>
      <c r="Q16">
        <v>51</v>
      </c>
    </row>
    <row r="17" spans="1:17" x14ac:dyDescent="0.55000000000000004">
      <c r="A17" s="3">
        <v>45901</v>
      </c>
      <c r="B17" t="s">
        <v>21</v>
      </c>
      <c r="C17">
        <v>9867566</v>
      </c>
      <c r="D17">
        <v>6</v>
      </c>
      <c r="E17">
        <v>15</v>
      </c>
      <c r="F17">
        <v>0</v>
      </c>
      <c r="G17">
        <v>90</v>
      </c>
      <c r="H17">
        <v>88.32</v>
      </c>
      <c r="J17" s="8">
        <v>46054</v>
      </c>
      <c r="K17" t="s">
        <v>22</v>
      </c>
      <c r="L17">
        <v>7749918</v>
      </c>
      <c r="M17">
        <v>8</v>
      </c>
      <c r="N17">
        <v>17</v>
      </c>
      <c r="O17">
        <v>0</v>
      </c>
      <c r="P17">
        <v>136</v>
      </c>
      <c r="Q17">
        <v>136</v>
      </c>
    </row>
    <row r="18" spans="1:17" x14ac:dyDescent="0.55000000000000004">
      <c r="A18" s="3">
        <v>45931</v>
      </c>
      <c r="B18" t="s">
        <v>21</v>
      </c>
      <c r="C18">
        <v>9905320</v>
      </c>
      <c r="D18">
        <v>10</v>
      </c>
      <c r="E18">
        <v>15</v>
      </c>
      <c r="F18">
        <v>0</v>
      </c>
      <c r="G18">
        <v>150</v>
      </c>
      <c r="H18">
        <v>147.19999999999999</v>
      </c>
      <c r="J18" s="8">
        <v>46082</v>
      </c>
      <c r="K18" t="s">
        <v>22</v>
      </c>
      <c r="L18">
        <v>920259</v>
      </c>
      <c r="M18">
        <v>3</v>
      </c>
      <c r="N18">
        <v>17</v>
      </c>
      <c r="O18">
        <v>0</v>
      </c>
      <c r="P18">
        <v>51</v>
      </c>
      <c r="Q18">
        <v>51</v>
      </c>
    </row>
    <row r="19" spans="1:17" x14ac:dyDescent="0.55000000000000004">
      <c r="A19" s="3">
        <v>45962</v>
      </c>
      <c r="B19" t="s">
        <v>21</v>
      </c>
      <c r="C19">
        <v>6705110</v>
      </c>
      <c r="D19">
        <v>6</v>
      </c>
      <c r="E19">
        <v>15</v>
      </c>
      <c r="F19">
        <v>0</v>
      </c>
      <c r="G19">
        <v>90</v>
      </c>
      <c r="H19">
        <v>88.13</v>
      </c>
      <c r="J19" s="8">
        <v>46113</v>
      </c>
      <c r="K19" t="s">
        <v>22</v>
      </c>
      <c r="L19">
        <v>2496039</v>
      </c>
      <c r="M19">
        <v>7</v>
      </c>
      <c r="N19">
        <v>17</v>
      </c>
      <c r="O19">
        <v>0</v>
      </c>
      <c r="P19">
        <v>119</v>
      </c>
      <c r="Q19">
        <v>119</v>
      </c>
    </row>
    <row r="20" spans="1:17" x14ac:dyDescent="0.55000000000000004">
      <c r="A20" s="3">
        <v>45992</v>
      </c>
      <c r="B20" t="s">
        <v>21</v>
      </c>
      <c r="C20">
        <v>4945228</v>
      </c>
      <c r="D20">
        <v>4</v>
      </c>
      <c r="E20">
        <v>15</v>
      </c>
      <c r="F20">
        <v>0</v>
      </c>
      <c r="G20">
        <v>60</v>
      </c>
      <c r="H20">
        <v>58.76</v>
      </c>
      <c r="J20" s="8">
        <v>46143</v>
      </c>
      <c r="K20" t="s">
        <v>22</v>
      </c>
      <c r="L20">
        <v>5502243</v>
      </c>
      <c r="M20">
        <v>9</v>
      </c>
      <c r="N20">
        <v>17</v>
      </c>
      <c r="O20">
        <v>0</v>
      </c>
      <c r="P20">
        <v>153</v>
      </c>
      <c r="Q20">
        <v>153</v>
      </c>
    </row>
    <row r="21" spans="1:17" x14ac:dyDescent="0.55000000000000004">
      <c r="A21" s="3">
        <v>46023</v>
      </c>
      <c r="B21" t="s">
        <v>21</v>
      </c>
      <c r="C21">
        <v>337809</v>
      </c>
      <c r="D21">
        <v>4</v>
      </c>
      <c r="E21">
        <v>15</v>
      </c>
      <c r="F21">
        <v>0</v>
      </c>
      <c r="G21">
        <v>60</v>
      </c>
      <c r="H21">
        <v>58.76</v>
      </c>
      <c r="J21" s="8">
        <v>46174</v>
      </c>
      <c r="K21" t="s">
        <v>22</v>
      </c>
      <c r="L21">
        <v>7940073</v>
      </c>
      <c r="M21">
        <v>14</v>
      </c>
      <c r="N21">
        <v>17</v>
      </c>
      <c r="O21">
        <v>0</v>
      </c>
      <c r="P21">
        <v>238</v>
      </c>
      <c r="Q21">
        <v>238</v>
      </c>
    </row>
    <row r="22" spans="1:17" x14ac:dyDescent="0.55000000000000004">
      <c r="A22" s="3">
        <v>46054</v>
      </c>
      <c r="B22" t="s">
        <v>21</v>
      </c>
      <c r="C22">
        <v>6136182</v>
      </c>
      <c r="D22">
        <v>4</v>
      </c>
      <c r="E22">
        <v>15</v>
      </c>
      <c r="F22">
        <v>0</v>
      </c>
      <c r="G22">
        <v>60</v>
      </c>
      <c r="H22">
        <v>58.76</v>
      </c>
      <c r="J22" s="8">
        <v>46204</v>
      </c>
      <c r="K22" t="s">
        <v>22</v>
      </c>
      <c r="L22">
        <v>9513075</v>
      </c>
      <c r="M22">
        <v>3</v>
      </c>
      <c r="N22">
        <v>17</v>
      </c>
      <c r="O22">
        <v>0</v>
      </c>
      <c r="P22">
        <v>51</v>
      </c>
      <c r="Q22">
        <v>51</v>
      </c>
    </row>
    <row r="23" spans="1:17" x14ac:dyDescent="0.55000000000000004">
      <c r="A23" s="3">
        <v>46082</v>
      </c>
      <c r="B23" t="s">
        <v>21</v>
      </c>
      <c r="C23">
        <v>3481366</v>
      </c>
      <c r="D23">
        <v>4</v>
      </c>
      <c r="E23">
        <v>15</v>
      </c>
      <c r="F23">
        <v>0</v>
      </c>
      <c r="G23">
        <v>60</v>
      </c>
      <c r="H23">
        <v>58.76</v>
      </c>
    </row>
    <row r="24" spans="1:17" x14ac:dyDescent="0.55000000000000004">
      <c r="A24" s="3">
        <v>46113</v>
      </c>
      <c r="B24" t="s">
        <v>21</v>
      </c>
      <c r="C24">
        <v>6113115</v>
      </c>
      <c r="D24">
        <v>6</v>
      </c>
      <c r="E24">
        <v>15</v>
      </c>
      <c r="F24">
        <v>0</v>
      </c>
      <c r="G24">
        <v>90</v>
      </c>
      <c r="H24">
        <v>88.13</v>
      </c>
    </row>
    <row r="25" spans="1:17" x14ac:dyDescent="0.55000000000000004">
      <c r="A25" s="3">
        <v>46143</v>
      </c>
      <c r="B25" t="s">
        <v>21</v>
      </c>
      <c r="C25">
        <v>9655637</v>
      </c>
      <c r="D25">
        <v>4</v>
      </c>
      <c r="E25">
        <v>15</v>
      </c>
      <c r="F25">
        <v>0</v>
      </c>
      <c r="G25">
        <v>60</v>
      </c>
      <c r="H25">
        <v>58.76</v>
      </c>
    </row>
    <row r="26" spans="1:17" x14ac:dyDescent="0.55000000000000004">
      <c r="A26" s="3">
        <v>46174</v>
      </c>
      <c r="B26" t="s">
        <v>21</v>
      </c>
      <c r="C26">
        <v>9079261</v>
      </c>
      <c r="D26">
        <v>4</v>
      </c>
      <c r="E26">
        <v>15</v>
      </c>
      <c r="F26">
        <v>0</v>
      </c>
      <c r="G26">
        <v>60</v>
      </c>
      <c r="H26">
        <v>58.76</v>
      </c>
    </row>
    <row r="27" spans="1:17" x14ac:dyDescent="0.55000000000000004">
      <c r="A27" s="3">
        <v>46204</v>
      </c>
      <c r="B27" t="s">
        <v>21</v>
      </c>
      <c r="C27">
        <v>6701439</v>
      </c>
      <c r="D27">
        <v>4</v>
      </c>
      <c r="E27">
        <v>15</v>
      </c>
      <c r="F27">
        <v>0</v>
      </c>
      <c r="G27">
        <v>60</v>
      </c>
      <c r="H27">
        <v>58.76</v>
      </c>
    </row>
  </sheetData>
  <mergeCells count="2">
    <mergeCell ref="A1:H1"/>
    <mergeCell ref="J1:Q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3644-6511-42A6-B758-0DDFBE974506}">
  <sheetPr codeName="Feuil3"/>
  <dimension ref="A1:A15"/>
  <sheetViews>
    <sheetView workbookViewId="0">
      <selection activeCell="D2" sqref="D2"/>
    </sheetView>
  </sheetViews>
  <sheetFormatPr baseColWidth="10" defaultRowHeight="14.4" x14ac:dyDescent="0.55000000000000004"/>
  <sheetData>
    <row r="1" spans="1:1" x14ac:dyDescent="0.55000000000000004">
      <c r="A1" t="s">
        <v>10</v>
      </c>
    </row>
    <row r="2" spans="1:1" x14ac:dyDescent="0.55000000000000004">
      <c r="A2">
        <f>YEAR(MIN(Prelevements_EVELYNE_CHANTAL_SABATIER[Période],Prelevement_PASCAL_HENRI_MITTON[Période],Prelevement_JULIEN_MAZEAU_MAGNETTO[Période]))</f>
        <v>2022</v>
      </c>
    </row>
    <row r="3" spans="1:1" x14ac:dyDescent="0.55000000000000004">
      <c r="A3">
        <f t="shared" ref="A3:A15" ca="1" si="0">IF(DATE(A2+1,1,1) &gt; NOW(),"",A2+1)</f>
        <v>2023</v>
      </c>
    </row>
    <row r="4" spans="1:1" x14ac:dyDescent="0.55000000000000004">
      <c r="A4">
        <f t="shared" ca="1" si="0"/>
        <v>2024</v>
      </c>
    </row>
    <row r="5" spans="1:1" x14ac:dyDescent="0.55000000000000004">
      <c r="A5">
        <f t="shared" ca="1" si="0"/>
        <v>2025</v>
      </c>
    </row>
    <row r="6" spans="1:1" x14ac:dyDescent="0.55000000000000004">
      <c r="A6">
        <f t="shared" ca="1" si="0"/>
        <v>2026</v>
      </c>
    </row>
    <row r="7" spans="1:1" x14ac:dyDescent="0.55000000000000004">
      <c r="A7" t="str">
        <f t="shared" ca="1" si="0"/>
        <v/>
      </c>
    </row>
    <row r="8" spans="1:1" x14ac:dyDescent="0.55000000000000004">
      <c r="A8" t="e">
        <f t="shared" ca="1" si="0"/>
        <v>#VALUE!</v>
      </c>
    </row>
    <row r="9" spans="1:1" x14ac:dyDescent="0.55000000000000004">
      <c r="A9" t="e">
        <f t="shared" ca="1" si="0"/>
        <v>#VALUE!</v>
      </c>
    </row>
    <row r="10" spans="1:1" x14ac:dyDescent="0.55000000000000004">
      <c r="A10" t="e">
        <f t="shared" ca="1" si="0"/>
        <v>#VALUE!</v>
      </c>
    </row>
    <row r="11" spans="1:1" x14ac:dyDescent="0.55000000000000004">
      <c r="A11" t="e">
        <f t="shared" ca="1" si="0"/>
        <v>#VALUE!</v>
      </c>
    </row>
    <row r="12" spans="1:1" x14ac:dyDescent="0.55000000000000004">
      <c r="A12" t="e">
        <f t="shared" ca="1" si="0"/>
        <v>#VALUE!</v>
      </c>
    </row>
    <row r="13" spans="1:1" x14ac:dyDescent="0.55000000000000004">
      <c r="A13" t="e">
        <f t="shared" ca="1" si="0"/>
        <v>#VALUE!</v>
      </c>
    </row>
    <row r="14" spans="1:1" x14ac:dyDescent="0.55000000000000004">
      <c r="A14" t="e">
        <f t="shared" ca="1" si="0"/>
        <v>#VALUE!</v>
      </c>
    </row>
    <row r="15" spans="1:1" x14ac:dyDescent="0.55000000000000004">
      <c r="A15" t="e">
        <f t="shared" ca="1" si="0"/>
        <v>#VALUE!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F3329-3EE4-4473-8ACB-4576D1080B02}">
  <sheetPr codeName="Feuil8"/>
  <dimension ref="A1:I17"/>
  <sheetViews>
    <sheetView tabSelected="1" workbookViewId="0">
      <selection activeCell="L13" sqref="L13"/>
    </sheetView>
  </sheetViews>
  <sheetFormatPr baseColWidth="10" defaultRowHeight="14.4" x14ac:dyDescent="0.55000000000000004"/>
  <cols>
    <col min="1" max="1" width="13.41796875" style="2" bestFit="1" customWidth="1"/>
    <col min="2" max="2" width="3.5234375" style="2" customWidth="1"/>
    <col min="3" max="3" width="10.578125" style="27" customWidth="1"/>
    <col min="4" max="4" width="10.89453125" style="27" customWidth="1"/>
    <col min="5" max="5" width="11.578125" style="27" customWidth="1"/>
    <col min="6" max="6" width="3.05078125" style="28" customWidth="1"/>
    <col min="7" max="7" width="10.9453125" style="1"/>
    <col min="8" max="8" width="10.9453125" style="27"/>
    <col min="9" max="9" width="10.9453125" style="1"/>
  </cols>
  <sheetData>
    <row r="1" spans="1:9" s="13" customFormat="1" x14ac:dyDescent="0.55000000000000004">
      <c r="A1" s="11">
        <v>2025</v>
      </c>
      <c r="B1" s="12"/>
      <c r="C1" s="30" t="s">
        <v>11</v>
      </c>
      <c r="D1" s="30"/>
      <c r="E1" s="30"/>
      <c r="F1" s="15"/>
      <c r="G1" s="30" t="s">
        <v>12</v>
      </c>
      <c r="H1" s="30"/>
      <c r="I1" s="30"/>
    </row>
    <row r="2" spans="1:9" s="4" customFormat="1" x14ac:dyDescent="0.55000000000000004">
      <c r="A2" s="10" t="s">
        <v>4</v>
      </c>
      <c r="B2" s="14"/>
      <c r="C2" s="16" t="s">
        <v>7</v>
      </c>
      <c r="D2" s="17" t="s">
        <v>8</v>
      </c>
      <c r="E2" s="17" t="s">
        <v>9</v>
      </c>
      <c r="F2" s="18"/>
      <c r="G2" s="16" t="s">
        <v>7</v>
      </c>
      <c r="H2" s="17" t="s">
        <v>8</v>
      </c>
      <c r="I2" s="17" t="s">
        <v>9</v>
      </c>
    </row>
    <row r="3" spans="1:9" x14ac:dyDescent="0.55000000000000004">
      <c r="A3" s="5">
        <f t="shared" ref="A3:A14" si="0">DATE(Année,ROW()-2,1)</f>
        <v>45658</v>
      </c>
      <c r="B3" s="6"/>
      <c r="C3" s="19" t="str">
        <f>_xlfn.XLOOKUP($A3,declarations_JULIEN_MAZEAU_MAGNETTO[periode],declarations_JULIEN_MAZEAU_MAGNETTO[total_net_paye],"")</f>
        <v/>
      </c>
      <c r="D3" s="19">
        <f>_xlfn.XLOOKUP($A3,declarations_PASCAL_HENRI_MITTON[periode],declarations_PASCAL_HENRI_MITTON[total_net_paye],"")</f>
        <v>136</v>
      </c>
      <c r="E3" s="19">
        <f>_xlfn.XLOOKUP($A3,declarations_EVELYNE_CHANTAL_SABATIER[periode],declarations_EVELYNE_CHANTAL_SABATIER[total_net_paye],"")</f>
        <v>117.76</v>
      </c>
      <c r="F3" s="20"/>
      <c r="G3" s="21" t="str">
        <f>_xlfn.XLOOKUP($A3,Prelevement_JULIEN_MAZEAU_MAGNETTO[Période],Prelevement_JULIEN_MAZEAU_MAGNETTO[Montant],"",0,1)</f>
        <v/>
      </c>
      <c r="H3" s="19">
        <f>_xlfn.XLOOKUP($A3,Prelevement_PASCAL_HENRI_MITTON[Période],Prelevement_PASCAL_HENRI_MITTON[Montant],"",0,1)</f>
        <v>70.44</v>
      </c>
      <c r="I3" s="22">
        <f>_xlfn.XLOOKUP($A3,Prelevements_EVELYNE_CHANTAL_SABATIER[Période],Prelevements_EVELYNE_CHANTAL_SABATIER[Montant],"",0,1)</f>
        <v>64.37</v>
      </c>
    </row>
    <row r="4" spans="1:9" x14ac:dyDescent="0.55000000000000004">
      <c r="A4" s="6">
        <f t="shared" si="0"/>
        <v>45689</v>
      </c>
      <c r="B4" s="6"/>
      <c r="C4" s="23" t="str">
        <f>_xlfn.XLOOKUP($A4,declarations_JULIEN_MAZEAU_MAGNETTO[periode],declarations_JULIEN_MAZEAU_MAGNETTO[total_net_paye],"")</f>
        <v/>
      </c>
      <c r="D4" s="19" t="str">
        <f>_xlfn.XLOOKUP($A4,declarations_PASCAL_HENRI_MITTON[periode],declarations_PASCAL_HENRI_MITTON[total_net_paye],"")</f>
        <v/>
      </c>
      <c r="E4" s="19">
        <f>_xlfn.XLOOKUP($A4,declarations_EVELYNE_CHANTAL_SABATIER[periode],declarations_EVELYNE_CHANTAL_SABATIER[total_net_paye],"")</f>
        <v>117.76</v>
      </c>
      <c r="F4" s="20"/>
      <c r="G4" s="21" t="str">
        <f>_xlfn.XLOOKUP($A4,Prelevement_JULIEN_MAZEAU_MAGNETTO[Période],Prelevement_JULIEN_MAZEAU_MAGNETTO[Montant],"",0,1)</f>
        <v/>
      </c>
      <c r="H4" s="19" t="str">
        <f>_xlfn.XLOOKUP($A4,Prelevement_PASCAL_HENRI_MITTON[Période],Prelevement_PASCAL_HENRI_MITTON[Montant],"",0,1)</f>
        <v/>
      </c>
      <c r="I4" s="22">
        <f>_xlfn.XLOOKUP($A4,Prelevements_EVELYNE_CHANTAL_SABATIER[Période],Prelevements_EVELYNE_CHANTAL_SABATIER[Montant],"",0,1)</f>
        <v>64.37</v>
      </c>
    </row>
    <row r="5" spans="1:9" x14ac:dyDescent="0.55000000000000004">
      <c r="A5" s="5">
        <f t="shared" si="0"/>
        <v>45717</v>
      </c>
      <c r="B5" s="6"/>
      <c r="C5" s="23" t="str">
        <f>_xlfn.XLOOKUP($A5,declarations_JULIEN_MAZEAU_MAGNETTO[periode],declarations_JULIEN_MAZEAU_MAGNETTO[total_net_paye],"")</f>
        <v/>
      </c>
      <c r="D5" s="19">
        <f>_xlfn.XLOOKUP($A5,declarations_PASCAL_HENRI_MITTON[periode],declarations_PASCAL_HENRI_MITTON[total_net_paye],"")</f>
        <v>102</v>
      </c>
      <c r="E5" s="19">
        <f>_xlfn.XLOOKUP($A5,declarations_EVELYNE_CHANTAL_SABATIER[periode],declarations_EVELYNE_CHANTAL_SABATIER[total_net_paye],"")</f>
        <v>117.76</v>
      </c>
      <c r="F5" s="20"/>
      <c r="G5" s="21" t="str">
        <f>_xlfn.XLOOKUP($A5,Prelevement_JULIEN_MAZEAU_MAGNETTO[Période],Prelevement_JULIEN_MAZEAU_MAGNETTO[Montant],"",0,1)</f>
        <v/>
      </c>
      <c r="H5" s="19">
        <f>_xlfn.XLOOKUP($A5,Prelevement_PASCAL_HENRI_MITTON[Période],Prelevement_PASCAL_HENRI_MITTON[Montant],"",0,1)</f>
        <v>52.81</v>
      </c>
      <c r="I5" s="22">
        <f>_xlfn.XLOOKUP($A5,Prelevements_EVELYNE_CHANTAL_SABATIER[Période],Prelevements_EVELYNE_CHANTAL_SABATIER[Montant],"",0,1)</f>
        <v>64.37</v>
      </c>
    </row>
    <row r="6" spans="1:9" x14ac:dyDescent="0.55000000000000004">
      <c r="A6" s="6">
        <f t="shared" si="0"/>
        <v>45748</v>
      </c>
      <c r="B6" s="6"/>
      <c r="C6" s="23" t="str">
        <f>_xlfn.XLOOKUP($A6,declarations_JULIEN_MAZEAU_MAGNETTO[periode],declarations_JULIEN_MAZEAU_MAGNETTO[total_net_paye],"")</f>
        <v/>
      </c>
      <c r="D6" s="19">
        <f>_xlfn.XLOOKUP($A6,declarations_PASCAL_HENRI_MITTON[periode],declarations_PASCAL_HENRI_MITTON[total_net_paye],"")</f>
        <v>102</v>
      </c>
      <c r="E6" s="19">
        <f>_xlfn.XLOOKUP($A6,declarations_EVELYNE_CHANTAL_SABATIER[periode],declarations_EVELYNE_CHANTAL_SABATIER[total_net_paye],"")</f>
        <v>147.19999999999999</v>
      </c>
      <c r="F6" s="20"/>
      <c r="G6" s="21" t="str">
        <f>_xlfn.XLOOKUP($A6,Prelevement_JULIEN_MAZEAU_MAGNETTO[Période],Prelevement_JULIEN_MAZEAU_MAGNETTO[Montant],"",0,1)</f>
        <v/>
      </c>
      <c r="H6" s="19">
        <f>_xlfn.XLOOKUP($A6,Prelevement_PASCAL_HENRI_MITTON[Période],Prelevement_PASCAL_HENRI_MITTON[Montant],"",0,1)</f>
        <v>52.81</v>
      </c>
      <c r="I6" s="22">
        <f>_xlfn.XLOOKUP($A6,Prelevements_EVELYNE_CHANTAL_SABATIER[Période],Prelevements_EVELYNE_CHANTAL_SABATIER[Montant],"",0,1)</f>
        <v>80.3</v>
      </c>
    </row>
    <row r="7" spans="1:9" x14ac:dyDescent="0.55000000000000004">
      <c r="A7" s="5">
        <f t="shared" si="0"/>
        <v>45778</v>
      </c>
      <c r="B7" s="6"/>
      <c r="C7" s="23" t="str">
        <f>_xlfn.XLOOKUP($A7,declarations_JULIEN_MAZEAU_MAGNETTO[periode],declarations_JULIEN_MAZEAU_MAGNETTO[total_net_paye],"")</f>
        <v/>
      </c>
      <c r="D7" s="19">
        <f>_xlfn.XLOOKUP($A7,declarations_PASCAL_HENRI_MITTON[periode],declarations_PASCAL_HENRI_MITTON[total_net_paye],"")</f>
        <v>102</v>
      </c>
      <c r="E7" s="19">
        <f>_xlfn.XLOOKUP($A7,declarations_EVELYNE_CHANTAL_SABATIER[periode],declarations_EVELYNE_CHANTAL_SABATIER[total_net_paye],"")</f>
        <v>117.76</v>
      </c>
      <c r="F7" s="20"/>
      <c r="G7" s="21" t="str">
        <f>_xlfn.XLOOKUP($A7,Prelevement_JULIEN_MAZEAU_MAGNETTO[Période],Prelevement_JULIEN_MAZEAU_MAGNETTO[Montant],"",0,1)</f>
        <v/>
      </c>
      <c r="H7" s="19">
        <f>_xlfn.XLOOKUP($A7,Prelevement_PASCAL_HENRI_MITTON[Période],Prelevement_PASCAL_HENRI_MITTON[Montant],"",0,1)</f>
        <v>52.85</v>
      </c>
      <c r="I7" s="22">
        <f>_xlfn.XLOOKUP($A7,Prelevements_EVELYNE_CHANTAL_SABATIER[Période],Prelevements_EVELYNE_CHANTAL_SABATIER[Montant],"",0,1)</f>
        <v>64.41</v>
      </c>
    </row>
    <row r="8" spans="1:9" x14ac:dyDescent="0.55000000000000004">
      <c r="A8" s="6">
        <f t="shared" si="0"/>
        <v>45809</v>
      </c>
      <c r="B8" s="6"/>
      <c r="C8" s="23" t="str">
        <f>_xlfn.XLOOKUP($A8,declarations_JULIEN_MAZEAU_MAGNETTO[periode],declarations_JULIEN_MAZEAU_MAGNETTO[total_net_paye],"")</f>
        <v/>
      </c>
      <c r="D8" s="19">
        <f>_xlfn.XLOOKUP($A8,declarations_PASCAL_HENRI_MITTON[periode],declarations_PASCAL_HENRI_MITTON[total_net_paye],"")</f>
        <v>102</v>
      </c>
      <c r="E8" s="19">
        <f>_xlfn.XLOOKUP($A8,declarations_EVELYNE_CHANTAL_SABATIER[periode],declarations_EVELYNE_CHANTAL_SABATIER[total_net_paye],"")</f>
        <v>117.76</v>
      </c>
      <c r="F8" s="20"/>
      <c r="G8" s="21" t="str">
        <f>_xlfn.XLOOKUP($A8,Prelevement_JULIEN_MAZEAU_MAGNETTO[Période],Prelevement_JULIEN_MAZEAU_MAGNETTO[Montant],"",0,1)</f>
        <v/>
      </c>
      <c r="H8" s="19">
        <f>_xlfn.XLOOKUP($A8,Prelevement_PASCAL_HENRI_MITTON[Période],Prelevement_PASCAL_HENRI_MITTON[Montant],"",0,1)</f>
        <v>52.85</v>
      </c>
      <c r="I8" s="22">
        <f>_xlfn.XLOOKUP($A8,Prelevements_EVELYNE_CHANTAL_SABATIER[Période],Prelevements_EVELYNE_CHANTAL_SABATIER[Montant],"",0,1)</f>
        <v>64.41</v>
      </c>
    </row>
    <row r="9" spans="1:9" x14ac:dyDescent="0.55000000000000004">
      <c r="A9" s="5">
        <f t="shared" si="0"/>
        <v>45839</v>
      </c>
      <c r="B9" s="6"/>
      <c r="C9" s="23" t="str">
        <f>_xlfn.XLOOKUP($A9,declarations_JULIEN_MAZEAU_MAGNETTO[periode],declarations_JULIEN_MAZEAU_MAGNETTO[total_net_paye],"")</f>
        <v/>
      </c>
      <c r="D9" s="19">
        <f>_xlfn.XLOOKUP($A9,declarations_PASCAL_HENRI_MITTON[periode],declarations_PASCAL_HENRI_MITTON[total_net_paye],"")</f>
        <v>51</v>
      </c>
      <c r="E9" s="19">
        <f>_xlfn.XLOOKUP($A9,declarations_EVELYNE_CHANTAL_SABATIER[periode],declarations_EVELYNE_CHANTAL_SABATIER[total_net_paye],"")</f>
        <v>117.76</v>
      </c>
      <c r="F9" s="20"/>
      <c r="G9" s="21" t="str">
        <f>_xlfn.XLOOKUP($A9,Prelevement_JULIEN_MAZEAU_MAGNETTO[Période],Prelevement_JULIEN_MAZEAU_MAGNETTO[Montant],"",0,1)</f>
        <v/>
      </c>
      <c r="H9" s="19">
        <f>_xlfn.XLOOKUP($A9,Prelevement_PASCAL_HENRI_MITTON[Période],Prelevement_PASCAL_HENRI_MITTON[Montant],"",0,1)</f>
        <v>26.42</v>
      </c>
      <c r="I9" s="22">
        <f>_xlfn.XLOOKUP($A9,Prelevements_EVELYNE_CHANTAL_SABATIER[Période],Prelevements_EVELYNE_CHANTAL_SABATIER[Montant],"",0,1)</f>
        <v>64.41</v>
      </c>
    </row>
    <row r="10" spans="1:9" x14ac:dyDescent="0.55000000000000004">
      <c r="A10" s="6">
        <f t="shared" si="0"/>
        <v>45870</v>
      </c>
      <c r="B10" s="6"/>
      <c r="C10" s="23" t="str">
        <f>_xlfn.XLOOKUP($A10,declarations_JULIEN_MAZEAU_MAGNETTO[periode],declarations_JULIEN_MAZEAU_MAGNETTO[total_net_paye],"")</f>
        <v/>
      </c>
      <c r="D10" s="19" t="str">
        <f>_xlfn.XLOOKUP($A10,declarations_PASCAL_HENRI_MITTON[periode],declarations_PASCAL_HENRI_MITTON[total_net_paye],"")</f>
        <v/>
      </c>
      <c r="E10" s="19">
        <f>_xlfn.XLOOKUP($A10,declarations_EVELYNE_CHANTAL_SABATIER[periode],declarations_EVELYNE_CHANTAL_SABATIER[total_net_paye],"")</f>
        <v>88.32</v>
      </c>
      <c r="F10" s="20"/>
      <c r="G10" s="21" t="str">
        <f>_xlfn.XLOOKUP($A10,Prelevement_JULIEN_MAZEAU_MAGNETTO[Période],Prelevement_JULIEN_MAZEAU_MAGNETTO[Montant],"",0,1)</f>
        <v/>
      </c>
      <c r="H10" s="19" t="str">
        <f>_xlfn.XLOOKUP($A10,Prelevement_PASCAL_HENRI_MITTON[Période],Prelevement_PASCAL_HENRI_MITTON[Montant],"",0,1)</f>
        <v/>
      </c>
      <c r="I10" s="22">
        <f>_xlfn.XLOOKUP($A10,Prelevements_EVELYNE_CHANTAL_SABATIER[Période],Prelevements_EVELYNE_CHANTAL_SABATIER[Montant],"",0,1)</f>
        <v>48.35</v>
      </c>
    </row>
    <row r="11" spans="1:9" x14ac:dyDescent="0.55000000000000004">
      <c r="A11" s="5">
        <f t="shared" si="0"/>
        <v>45901</v>
      </c>
      <c r="B11" s="6"/>
      <c r="C11" s="23" t="str">
        <f>_xlfn.XLOOKUP($A11,declarations_JULIEN_MAZEAU_MAGNETTO[periode],declarations_JULIEN_MAZEAU_MAGNETTO[total_net_paye],"")</f>
        <v/>
      </c>
      <c r="D11" s="19">
        <f>_xlfn.XLOOKUP($A11,declarations_PASCAL_HENRI_MITTON[periode],declarations_PASCAL_HENRI_MITTON[total_net_paye],"")</f>
        <v>102</v>
      </c>
      <c r="E11" s="19">
        <f>_xlfn.XLOOKUP($A11,declarations_EVELYNE_CHANTAL_SABATIER[periode],declarations_EVELYNE_CHANTAL_SABATIER[total_net_paye],"")</f>
        <v>88.32</v>
      </c>
      <c r="F11" s="20"/>
      <c r="G11" s="21" t="str">
        <f>_xlfn.XLOOKUP($A11,Prelevement_JULIEN_MAZEAU_MAGNETTO[Période],Prelevement_JULIEN_MAZEAU_MAGNETTO[Montant],"",0,1)</f>
        <v/>
      </c>
      <c r="H11" s="19">
        <f>_xlfn.XLOOKUP($A11,Prelevement_PASCAL_HENRI_MITTON[Période],Prelevement_PASCAL_HENRI_MITTON[Montant],"",0,1)</f>
        <v>52.85</v>
      </c>
      <c r="I11" s="22">
        <f>_xlfn.XLOOKUP($A11,Prelevements_EVELYNE_CHANTAL_SABATIER[Période],Prelevements_EVELYNE_CHANTAL_SABATIER[Montant],"",0,1)</f>
        <v>48.35</v>
      </c>
    </row>
    <row r="12" spans="1:9" x14ac:dyDescent="0.55000000000000004">
      <c r="A12" s="6">
        <f t="shared" si="0"/>
        <v>45931</v>
      </c>
      <c r="B12" s="6"/>
      <c r="C12" s="23" t="str">
        <f>_xlfn.XLOOKUP($A12,declarations_JULIEN_MAZEAU_MAGNETTO[periode],declarations_JULIEN_MAZEAU_MAGNETTO[total_net_paye],"")</f>
        <v/>
      </c>
      <c r="D12" s="19">
        <f>_xlfn.XLOOKUP($A12,declarations_PASCAL_HENRI_MITTON[periode],declarations_PASCAL_HENRI_MITTON[total_net_paye],"")</f>
        <v>204</v>
      </c>
      <c r="E12" s="19">
        <f>_xlfn.XLOOKUP($A12,declarations_EVELYNE_CHANTAL_SABATIER[periode],declarations_EVELYNE_CHANTAL_SABATIER[total_net_paye],"")</f>
        <v>147.19999999999999</v>
      </c>
      <c r="F12" s="20"/>
      <c r="G12" s="21" t="str">
        <f>_xlfn.XLOOKUP($A12,Prelevement_JULIEN_MAZEAU_MAGNETTO[Période],Prelevement_JULIEN_MAZEAU_MAGNETTO[Montant],"",0,1)</f>
        <v/>
      </c>
      <c r="H12" s="19">
        <f>_xlfn.XLOOKUP($A12,Prelevement_PASCAL_HENRI_MITTON[Période],Prelevement_PASCAL_HENRI_MITTON[Montant],"",0,1)</f>
        <v>103.69</v>
      </c>
      <c r="I12" s="22">
        <f>_xlfn.XLOOKUP($A12,Prelevements_EVELYNE_CHANTAL_SABATIER[Période],Prelevements_EVELYNE_CHANTAL_SABATIER[Montant],"",0,1)</f>
        <v>80.36</v>
      </c>
    </row>
    <row r="13" spans="1:9" x14ac:dyDescent="0.55000000000000004">
      <c r="A13" s="5">
        <f t="shared" si="0"/>
        <v>45962</v>
      </c>
      <c r="B13" s="6"/>
      <c r="C13" s="23" t="str">
        <f>_xlfn.XLOOKUP($A13,declarations_JULIEN_MAZEAU_MAGNETTO[periode],declarations_JULIEN_MAZEAU_MAGNETTO[total_net_paye],"")</f>
        <v/>
      </c>
      <c r="D13" s="19" t="str">
        <f>_xlfn.XLOOKUP($A13,declarations_PASCAL_HENRI_MITTON[periode],declarations_PASCAL_HENRI_MITTON[total_net_paye],"")</f>
        <v/>
      </c>
      <c r="E13" s="19">
        <f>_xlfn.XLOOKUP($A13,declarations_EVELYNE_CHANTAL_SABATIER[periode],declarations_EVELYNE_CHANTAL_SABATIER[total_net_paye],"")</f>
        <v>88.13</v>
      </c>
      <c r="F13" s="20"/>
      <c r="G13" s="21" t="str">
        <f>_xlfn.XLOOKUP($A13,Prelevement_JULIEN_MAZEAU_MAGNETTO[Période],Prelevement_JULIEN_MAZEAU_MAGNETTO[Montant],"",0,1)</f>
        <v/>
      </c>
      <c r="H13" s="19" t="str">
        <f>_xlfn.XLOOKUP($A13,Prelevement_PASCAL_HENRI_MITTON[Période],Prelevement_PASCAL_HENRI_MITTON[Montant],"",0,1)</f>
        <v/>
      </c>
      <c r="I13" s="22">
        <f>_xlfn.XLOOKUP($A13,Prelevements_EVELYNE_CHANTAL_SABATIER[Période],Prelevements_EVELYNE_CHANTAL_SABATIER[Montant],"",0,1)</f>
        <v>48.54</v>
      </c>
    </row>
    <row r="14" spans="1:9" x14ac:dyDescent="0.55000000000000004">
      <c r="A14" s="7">
        <f t="shared" si="0"/>
        <v>45992</v>
      </c>
      <c r="B14" s="7"/>
      <c r="C14" s="24" t="str">
        <f>_xlfn.XLOOKUP($A14,declarations_JULIEN_MAZEAU_MAGNETTO[periode],declarations_JULIEN_MAZEAU_MAGNETTO[total_net_paye],"")</f>
        <v/>
      </c>
      <c r="D14" s="25">
        <f>_xlfn.XLOOKUP($A14,declarations_PASCAL_HENRI_MITTON[periode],declarations_PASCAL_HENRI_MITTON[total_net_paye],"")</f>
        <v>51</v>
      </c>
      <c r="E14" s="19">
        <f>_xlfn.XLOOKUP($A14,declarations_EVELYNE_CHANTAL_SABATIER[periode],declarations_EVELYNE_CHANTAL_SABATIER[total_net_paye],"")</f>
        <v>58.76</v>
      </c>
      <c r="F14" s="26"/>
      <c r="G14" s="21" t="str">
        <f>_xlfn.XLOOKUP($A14,Prelevement_JULIEN_MAZEAU_MAGNETTO[Période],Prelevement_JULIEN_MAZEAU_MAGNETTO[Montant],"",0,1)</f>
        <v/>
      </c>
      <c r="H14" s="19">
        <f>_xlfn.XLOOKUP($A14,Prelevement_PASCAL_HENRI_MITTON[Période],Prelevement_PASCAL_HENRI_MITTON[Montant],"",0,1)</f>
        <v>26.42</v>
      </c>
      <c r="I14" s="22">
        <f>_xlfn.XLOOKUP($A14,Prelevements_EVELYNE_CHANTAL_SABATIER[Période],Prelevements_EVELYNE_CHANTAL_SABATIER[Montant],"",0,1)</f>
        <v>32.33</v>
      </c>
    </row>
    <row r="16" spans="1:9" x14ac:dyDescent="0.55000000000000004">
      <c r="A16" s="2" t="str">
        <f>"Total " &amp;$A$1</f>
        <v>Total 2025</v>
      </c>
      <c r="C16" s="27">
        <f>SUM(Table_Salaires[Julien])</f>
        <v>0</v>
      </c>
      <c r="D16" s="27">
        <f>SUM(Table_Salaires[Mitton])</f>
        <v>952</v>
      </c>
      <c r="E16" s="27">
        <f>SUM(Table_Salaires[Evelyne])</f>
        <v>1324.49</v>
      </c>
      <c r="G16" s="27">
        <f>SUM(Table_Charges[Julien])</f>
        <v>0</v>
      </c>
      <c r="H16" s="27">
        <f>SUM(Table_Charges[Mitton])</f>
        <v>491.14000000000004</v>
      </c>
      <c r="I16" s="27">
        <f>SUM(Table_Charges[Evelyne])</f>
        <v>724.57</v>
      </c>
    </row>
    <row r="17" spans="5:9" x14ac:dyDescent="0.55000000000000004">
      <c r="E17" s="29">
        <f>SUM(C16:E16)</f>
        <v>2276.4899999999998</v>
      </c>
      <c r="G17" s="27"/>
      <c r="I17" s="29">
        <f>SUM(G16:I16)</f>
        <v>1215.71</v>
      </c>
    </row>
  </sheetData>
  <mergeCells count="2">
    <mergeCell ref="C1:E1"/>
    <mergeCell ref="G1:I1"/>
  </mergeCells>
  <phoneticPr fontId="3" type="noConversion"/>
  <dataValidations count="1">
    <dataValidation type="list" allowBlank="1" showInputMessage="1" showErrorMessage="1" sqref="A1:B1" xr:uid="{CAD3B349-996F-4183-923A-68E62E43CE37}">
      <formula1>Validation_annee</formula1>
    </dataValidation>
  </dataValidation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EB9B2D-DBE3-4D0C-BC39-3CBE392265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Employés</vt:lpstr>
      <vt:lpstr>Prelevements</vt:lpstr>
      <vt:lpstr>Déclarations</vt:lpstr>
      <vt:lpstr>Années</vt:lpstr>
      <vt:lpstr>Résultats</vt:lpstr>
      <vt:lpstr>Année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de Richemont</dc:creator>
  <cp:lastModifiedBy>Laurent de Richemont</cp:lastModifiedBy>
  <dcterms:created xsi:type="dcterms:W3CDTF">2026-08-04T11:53:51Z</dcterms:created>
  <dcterms:modified xsi:type="dcterms:W3CDTF">2026-08-08T12:41:04Z</dcterms:modified>
</cp:coreProperties>
</file>