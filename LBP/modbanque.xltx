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codeName="ThisWorkbook" hidePivotFieldList="1"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o:\OneDrive\Développements\Python\Essais\Moniteur\LBP\"/>
    </mc:Choice>
  </mc:AlternateContent>
  <xr:revisionPtr revIDLastSave="0" documentId="13_ncr:1_{EFE47015-BB7B-4715-97E7-5ECAFB6950D7}" xr6:coauthVersionLast="47" xr6:coauthVersionMax="47" xr10:uidLastSave="{00000000-0000-0000-0000-000000000000}"/>
  <bookViews>
    <workbookView xWindow="3510" yWindow="720" windowWidth="14400" windowHeight="15480" xr2:uid="{00000000-000D-0000-FFFF-FFFF00000000}"/>
  </bookViews>
  <sheets>
    <sheet name="Banque" sheetId="14" r:id="rId1"/>
    <sheet name="Bilan" sheetId="13" r:id="rId2"/>
  </sheets>
  <definedNames>
    <definedName name="_xlnm._FilterDatabase" localSheetId="0" hidden="1">Banque!$A$2:$I$2</definedName>
  </definedNames>
  <calcPr calcId="191029"/>
  <pivotCaches>
    <pivotCache cacheId="2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14" l="1"/>
  <c r="F2" i="14"/>
  <c r="I2" i="14"/>
</calcChain>
</file>

<file path=xl/sharedStrings.xml><?xml version="1.0" encoding="utf-8"?>
<sst xmlns="http://schemas.openxmlformats.org/spreadsheetml/2006/main" count="15" uniqueCount="13">
  <si>
    <t>solde initial</t>
  </si>
  <si>
    <t>banque</t>
  </si>
  <si>
    <t>Total général</t>
  </si>
  <si>
    <t>Libellé</t>
  </si>
  <si>
    <t>Débit</t>
  </si>
  <si>
    <t>Crédit</t>
  </si>
  <si>
    <t>Montant</t>
  </si>
  <si>
    <t>Solde</t>
  </si>
  <si>
    <t>Somme de Montant</t>
  </si>
  <si>
    <t>Description</t>
  </si>
  <si>
    <t>ventil</t>
  </si>
  <si>
    <t>Rang</t>
  </si>
  <si>
    <t>DateOpe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</si>
</sst>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(* #,##0.00_);_(* \(#,##0.00\);_(* &quot;-&quot;??_);_(@_)"/>
    <numFmt numFmtId="165" formatCode="#,##0.00;[Red]\-#,##0.00;"/>
    <numFmt numFmtId="166" formatCode="_-* #,##0.00\ &quot;€&quot;_-;\-* #,##0.00\ &quot;€&quot;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1"/>
      </left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">
    <xf numFmtId="0" fontId="0" fillId="0" borderId="0" xfId="0"/>
    <xf numFmtId="0" fontId="0" fillId="0" borderId="0" xfId="0" pivotButton="1"/>
    <xf numFmtId="0" fontId="3" fillId="0" borderId="0" xfId="0" applyFont="1"/>
    <xf numFmtId="0" fontId="3" fillId="0" borderId="0" xfId="0" applyFont="1" applyAlignment="1">
      <alignment horizontal="center"/>
    </xf>
    <xf numFmtId="14" fontId="3" fillId="0" borderId="0" xfId="0" applyNumberFormat="1" applyFont="1"/>
    <xf numFmtId="2" fontId="3" fillId="0" borderId="0" xfId="0" applyNumberFormat="1" applyFont="1"/>
    <xf numFmtId="165" fontId="3" fillId="0" borderId="0" xfId="1" applyNumberFormat="1" applyFont="1" applyFill="1"/>
    <xf numFmtId="165" fontId="3" fillId="0" borderId="0" xfId="0" applyNumberFormat="1" applyFont="1"/>
    <xf numFmtId="4" fontId="0" fillId="0" borderId="0" xfId="0" applyNumberFormat="1"/>
    <xf numFmtId="14" fontId="0" fillId="0" borderId="0" xfId="0" applyNumberFormat="1" applyAlignment="1">
      <alignment horizontal="left"/>
    </xf>
    <xf numFmtId="0" fontId="2" fillId="0" borderId="0" xfId="0" applyFont="1"/>
    <xf numFmtId="14" fontId="2" fillId="0" borderId="1" xfId="0" applyNumberFormat="1" applyFont="1" applyBorder="1"/>
    <xf numFmtId="2" fontId="2" fillId="0" borderId="1" xfId="0" applyNumberFormat="1" applyFont="1" applyBorder="1"/>
    <xf numFmtId="165" fontId="2" fillId="0" borderId="1" xfId="0" applyNumberFormat="1" applyFont="1" applyBorder="1"/>
    <xf numFmtId="0" fontId="2" fillId="0" borderId="1" xfId="0" applyFont="1" applyBorder="1"/>
    <xf numFmtId="14" fontId="0" fillId="0" borderId="0" xfId="0" applyNumberFormat="1" applyAlignment="1">
      <alignment horizontal="center"/>
    </xf>
    <xf numFmtId="40" fontId="0" fillId="0" borderId="0" xfId="0" applyNumberFormat="1"/>
    <xf numFmtId="166" fontId="0" fillId="0" borderId="0" xfId="2" applyNumberFormat="1" applyFont="1"/>
    <xf numFmtId="7" fontId="0" fillId="0" borderId="0" xfId="0" applyNumberFormat="1"/>
    <xf numFmtId="8" fontId="0" fillId="0" borderId="0" xfId="0" applyNumberFormat="1"/>
  </cellXfs>
  <cellStyles count="3">
    <cellStyle name="Milliers" xfId="1" builtinId="3"/>
    <cellStyle name="Monétaire" xfId="2" builtinId="4"/>
    <cellStyle name="Normal" xfId="0" builtinId="0"/>
  </cellStyles>
  <dxfs count="22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ill>
        <patternFill>
          <bgColor theme="6" tint="0.59996337778862885"/>
        </patternFill>
      </fill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2" formatCode="#,##0.00\ &quot;€&quot;;[Red]\-#,##0.00\ &quot;€&quot;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border diagonalUp="0" diagonalDown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_-* #,##0.00\ &quot;€&quot;_-;\-* #,##0.00\ &quot;€&quot;_-"/>
      <fill>
        <patternFill patternType="none">
          <fgColor indexed="64"/>
          <bgColor auto="1"/>
        </patternFill>
      </fill>
      <border diagonalUp="0" diagonalDown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8" formatCode="#,##0.00;[Red]\-#,##0.00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1"/>
        </top>
        <bottom/>
      </border>
    </dxf>
    <dxf>
      <border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95B3D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urent de Richemont" refreshedDate="46267.335833680554" createdVersion="8" refreshedVersion="8" minRefreshableVersion="3" recordCount="1" xr:uid="{1AFCB42F-4E09-4FB3-99CE-FDEC89E19275}">
  <cacheSource type="worksheet">
    <worksheetSource name="banque"/>
  </cacheSource>
  <cacheFields count="9">
    <cacheField name="Rang" numFmtId="0">
      <sharedItems containsSemiMixedTypes="0" containsString="0" containsNumber="1" containsInteger="1" minValue="2" maxValue="2"/>
    </cacheField>
    <cacheField name="DateOpe" numFmtId="14">
      <sharedItems containsSemiMixedTypes="0" containsNonDate="0" containsDate="1" containsString="0" minDate="2000-01-01T00:00:00" maxDate="2000-01-02T00:00:00" count="1">
        <d v="2000-01-01T00:00:00"/>
      </sharedItems>
    </cacheField>
    <cacheField name="Libellé" numFmtId="0">
      <sharedItems/>
    </cacheField>
    <cacheField name="Montant" numFmtId="40">
      <sharedItems containsSemiMixedTypes="0" containsString="0" containsNumber="1" minValue="11400.109999999999" maxValue="11400.109999999999"/>
    </cacheField>
    <cacheField name="Débit" numFmtId="166">
      <sharedItems/>
    </cacheField>
    <cacheField name="Crédit" numFmtId="7">
      <sharedItems containsSemiMixedTypes="0" containsString="0" containsNumber="1" minValue="11400.109999999999" maxValue="11400.109999999999"/>
    </cacheField>
    <cacheField name="Description" numFmtId="0">
      <sharedItems containsNonDate="0" containsString="0" containsBlank="1"/>
    </cacheField>
    <cacheField name="ventil" numFmtId="0">
      <sharedItems containsBlank="1" count="2">
        <s v="banque"/>
        <m u="1"/>
      </sharedItems>
    </cacheField>
    <cacheField name="Solde" numFmtId="8">
      <sharedItems containsSemiMixedTypes="0" containsString="0" containsNumber="1" minValue="11400.109999999999" maxValue="11400.10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2"/>
    <x v="0"/>
    <s v="solde initial"/>
    <n v="11400.109999999999"/>
    <s v=""/>
    <n v="11400.109999999999"/>
    <m/>
    <x v="0"/>
    <n v="11400.10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49910-7849-4090-9050-F2802BE465D8}" name="Tableau croisé dynamique1" cacheId="21" applyNumberFormats="0" applyBorderFormats="0" applyFontFormats="0" applyPatternFormats="0" applyAlignmentFormats="0" applyWidthHeightFormats="1" dataCaption="Valeurs" updatedVersion="8" minRefreshableVersion="3" useAutoFormatting="1" itemPrintTitles="1" createdVersion="7" indent="0" showHeaders="0" outline="1" outlineData="1" multipleFieldFilters="0">
  <location ref="A1:C4" firstHeaderRow="1" firstDataRow="2" firstDataCol="1"/>
  <pivotFields count="9">
    <pivotField showAll="0"/>
    <pivotField axis="axisRow" numFmtId="14" showAll="0">
      <items count="2">
        <item x="0"/>
        <item t="default"/>
      </items>
    </pivotField>
    <pivotField showAll="0"/>
    <pivotField dataField="1" numFmtId="165" showAll="0"/>
    <pivotField numFmtId="165" showAll="0"/>
    <pivotField numFmtId="165" showAll="0"/>
    <pivotField showAll="0"/>
    <pivotField axis="axisCol" showAll="0">
      <items count="3">
        <item x="0"/>
        <item m="1" x="1"/>
        <item t="default"/>
      </items>
    </pivotField>
    <pivotField numFmtId="165" showAll="0"/>
  </pivotFields>
  <rowFields count="1">
    <field x="1"/>
  </rowFields>
  <rowItems count="2">
    <i>
      <x/>
    </i>
    <i t="grand">
      <x/>
    </i>
  </rowItems>
  <colFields count="1">
    <field x="7"/>
  </colFields>
  <colItems count="2">
    <i>
      <x/>
    </i>
    <i t="grand">
      <x/>
    </i>
  </colItems>
  <dataFields count="1">
    <dataField name="Somme de Montant" fld="3" baseField="0" baseItem="0" numFmtId="4"/>
  </dataFields>
  <formats count="5">
    <format dxfId="10">
      <pivotArea outline="0" collapsedLevelsAreSubtotals="1" fieldPosition="0"/>
    </format>
    <format dxfId="9">
      <pivotArea field="7" type="button" dataOnly="0" labelOnly="1" outline="0" axis="axisCol" fieldPosition="0"/>
    </format>
    <format dxfId="8">
      <pivotArea type="topRight" dataOnly="0" labelOnly="1" outline="0" fieldPosition="0"/>
    </format>
    <format dxfId="7">
      <pivotArea dataOnly="0" labelOnly="1" fieldPosition="0">
        <references count="1">
          <reference field="7" count="0"/>
        </references>
      </pivotArea>
    </format>
    <format dxfId="6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855997-48B3-4711-AC7B-CB06A6F00C76}" name="banque" displayName="banque" ref="A1:I2" totalsRowShown="0" headerRowDxfId="21" tableBorderDxfId="20">
  <autoFilter ref="A1:I2" xr:uid="{5D855997-48B3-4711-AC7B-CB06A6F00C76}"/>
  <tableColumns count="9">
    <tableColumn id="1" xr3:uid="{654E09D3-0510-452A-86B9-B92FE90DFC7F}" name="Rang" dataDxfId="19"/>
    <tableColumn id="2" xr3:uid="{FB2B2F71-38C9-482C-A441-19C7B6618253}" name="DateOpe" dataDxfId="18"/>
    <tableColumn id="3" xr3:uid="{571CE4BD-BD0F-494E-8D67-8400FD03E017}" name="Libellé" dataDxfId="17"/>
    <tableColumn id="4" xr3:uid="{5120C08B-3E66-40A6-953C-DEC95A264088}" name="Montant" dataDxfId="16" dataCellStyle="Milliers"/>
    <tableColumn id="6" xr3:uid="{D3350379-C400-4FD2-9E54-68E37524274E}" name="Débit" dataDxfId="15" dataCellStyle="Monétaire">
      <calculatedColumnFormula>IF(banque[[#This Row],[Montant]]&lt;0,-banque[[#This Row],[Montant]],"")</calculatedColumnFormula>
    </tableColumn>
    <tableColumn id="7" xr3:uid="{639A57C9-EB08-478F-A9F8-4766CD64004F}" name="Crédit" dataDxfId="14">
      <calculatedColumnFormula>IF(banque[[#This Row],[Montant]]&gt;=0,banque[[#This Row],[Montant]],"")</calculatedColumnFormula>
    </tableColumn>
    <tableColumn id="8" xr3:uid="{526B882F-2522-4C47-8168-687AA88E476D}" name="Description" dataDxfId="13"/>
    <tableColumn id="9" xr3:uid="{2782E272-B48B-401E-8B36-9C1112320E98}" name="ventil" dataDxfId="12"/>
    <tableColumn id="10" xr3:uid="{AF37579C-2014-4034-842F-FA3A91446017}" name="Solde" dataDxfId="11" dataCellStyle="Milliers">
      <calculatedColumnFormula>IF(ISNUMBER(I1),I1+D2,D2)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BF17B-98B9-488D-8D92-47745711F65F}">
  <sheetPr>
    <pageSetUpPr autoPageBreaks="0" fitToPage="1"/>
  </sheetPr>
  <dimension ref="A1:I2"/>
  <sheetViews>
    <sheetView tabSelected="1" topLeftCell="C1" zoomScale="85" zoomScaleNormal="85" workbookViewId="0">
      <pane ySplit="1" topLeftCell="A2" activePane="bottomLeft" state="frozen"/>
      <selection pane="bottomLeft" activeCell="C1" sqref="A1:XFD2"/>
    </sheetView>
  </sheetViews>
  <sheetFormatPr baseColWidth="10" defaultColWidth="11.42578125" defaultRowHeight="15" x14ac:dyDescent="0.25"/>
  <cols>
    <col min="1" max="1" width="8.140625" style="2" customWidth="1"/>
    <col min="2" max="2" width="11.85546875" style="4" bestFit="1" customWidth="1"/>
    <col min="3" max="3" width="46.85546875" style="5" customWidth="1"/>
    <col min="4" max="4" width="13.42578125" style="6" customWidth="1"/>
    <col min="5" max="5" width="11.85546875" style="7" bestFit="1" customWidth="1"/>
    <col min="6" max="6" width="11.85546875" style="7" customWidth="1"/>
    <col min="7" max="7" width="41.7109375" style="2" customWidth="1"/>
    <col min="8" max="8" width="9.5703125" style="2" customWidth="1"/>
    <col min="9" max="9" width="13.5703125" style="6" customWidth="1"/>
    <col min="10" max="16384" width="11.42578125" style="2"/>
  </cols>
  <sheetData>
    <row r="1" spans="1:9" x14ac:dyDescent="0.25">
      <c r="A1" s="10" t="s">
        <v>11</v>
      </c>
      <c r="B1" s="11" t="s">
        <v>12</v>
      </c>
      <c r="C1" s="12" t="s">
        <v>3</v>
      </c>
      <c r="D1" s="13" t="s">
        <v>6</v>
      </c>
      <c r="E1" s="13" t="s">
        <v>4</v>
      </c>
      <c r="F1" s="13" t="s">
        <v>5</v>
      </c>
      <c r="G1" s="14" t="s">
        <v>9</v>
      </c>
      <c r="H1" s="14" t="s">
        <v>10</v>
      </c>
      <c r="I1" s="13" t="s">
        <v>7</v>
      </c>
    </row>
    <row r="2" spans="1:9" s="3" customFormat="1" x14ac:dyDescent="0.25">
      <c r="A2">
        <v>2</v>
      </c>
      <c r="B2" s="15">
        <v>36526</v>
      </c>
      <c r="C2" t="s">
        <v>0</v>
      </c>
      <c r="D2" s="16">
        <v>11400.109999999999</v>
      </c>
      <c r="E2" s="17" t="str">
        <f>IF(banque[[#This Row],[Montant]]&lt;0,-banque[[#This Row],[Montant]],"")</f>
        <v/>
      </c>
      <c r="F2" s="18">
        <f>IF(banque[[#This Row],[Montant]]&gt;=0,banque[[#This Row],[Montant]],"")</f>
        <v>11400.109999999999</v>
      </c>
      <c r="H2" t="s">
        <v>1</v>
      </c>
      <c r="I2" s="19">
        <f t="shared" ref="I2" si="0">IF(ISNUMBER(I1),I1+D2,D2)</f>
        <v>11400.109999999999</v>
      </c>
    </row>
  </sheetData>
  <conditionalFormatting sqref="A2:I2">
    <cfRule type="expression" dxfId="5" priority="3">
      <formula>#REF!=TRUE</formula>
    </cfRule>
  </conditionalFormatting>
  <pageMargins left="0.7" right="0.7" top="0.75" bottom="0.75" header="0.3" footer="0.3"/>
  <pageSetup paperSize="9" scale="69" fitToHeight="0" orientation="landscape" r:id="rId1"/>
  <colBreaks count="1" manualBreakCount="1">
    <brk id="2" min="1" max="2862" man="1"/>
  </colBreaks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DEC50-4141-4CBF-92D2-B66FCF1F521B}">
  <sheetPr codeName="Feuil1"/>
  <dimension ref="A1:V36"/>
  <sheetViews>
    <sheetView workbookViewId="0">
      <pane ySplit="2" topLeftCell="A6" activePane="bottomLeft" state="frozen"/>
      <selection pane="bottomLeft" activeCell="A2" sqref="A2"/>
    </sheetView>
  </sheetViews>
  <sheetFormatPr baseColWidth="10" defaultRowHeight="15" x14ac:dyDescent="0.25"/>
  <cols>
    <col min="1" max="1" width="18.7109375" bestFit="1" customWidth="1"/>
    <col min="2" max="2" width="9" style="8" bestFit="1" customWidth="1"/>
    <col min="3" max="4" width="12.5703125" style="8" bestFit="1" customWidth="1"/>
    <col min="5" max="5" width="9.7109375" style="8" bestFit="1" customWidth="1"/>
    <col min="6" max="6" width="10.7109375" style="8" bestFit="1" customWidth="1"/>
    <col min="7" max="7" width="8.7109375" style="8" bestFit="1" customWidth="1"/>
    <col min="8" max="14" width="9.7109375" style="8" bestFit="1" customWidth="1"/>
    <col min="15" max="15" width="10" style="8" bestFit="1" customWidth="1"/>
    <col min="16" max="16" width="10.5703125" style="8" bestFit="1" customWidth="1"/>
    <col min="17" max="17" width="8.7109375" style="8" bestFit="1" customWidth="1"/>
    <col min="18" max="19" width="9.7109375" style="8" bestFit="1" customWidth="1"/>
    <col min="20" max="20" width="14.7109375" style="8" bestFit="1" customWidth="1"/>
    <col min="21" max="21" width="7.140625" style="8" bestFit="1" customWidth="1"/>
    <col min="22" max="22" width="12.5703125" style="8" bestFit="1" customWidth="1"/>
  </cols>
  <sheetData>
    <row r="1" spans="1:22" x14ac:dyDescent="0.25">
      <c r="A1" s="1" t="s">
        <v>8</v>
      </c>
      <c r="B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</row>
    <row r="2" spans="1:22" x14ac:dyDescent="0.25">
      <c r="B2" s="8" t="s">
        <v>1</v>
      </c>
      <c r="C2" s="8" t="s">
        <v>2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</row>
    <row r="3" spans="1:22" x14ac:dyDescent="0.25">
      <c r="A3" s="9">
        <v>36526</v>
      </c>
      <c r="B3" s="8">
        <v>11400.109999999999</v>
      </c>
      <c r="C3" s="8">
        <v>11400.109999999999</v>
      </c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</row>
    <row r="4" spans="1:22" x14ac:dyDescent="0.25">
      <c r="A4" s="9" t="s">
        <v>2</v>
      </c>
      <c r="B4" s="8">
        <v>11400.109999999999</v>
      </c>
      <c r="C4" s="8">
        <v>11400.109999999999</v>
      </c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</row>
    <row r="5" spans="1:22" x14ac:dyDescent="0.25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</row>
    <row r="6" spans="1:22" x14ac:dyDescent="0.25"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</row>
    <row r="7" spans="1:22" x14ac:dyDescent="0.2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</row>
    <row r="8" spans="1:22" x14ac:dyDescent="0.25"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</row>
    <row r="9" spans="1:22" x14ac:dyDescent="0.25"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</row>
    <row r="10" spans="1:22" x14ac:dyDescent="0.25"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</row>
    <row r="11" spans="1:22" x14ac:dyDescent="0.25"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</row>
    <row r="12" spans="1:22" x14ac:dyDescent="0.25"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</row>
    <row r="13" spans="1:22" x14ac:dyDescent="0.25"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</row>
    <row r="14" spans="1:22" x14ac:dyDescent="0.25"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</row>
    <row r="15" spans="1:22" x14ac:dyDescent="0.25"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</row>
    <row r="16" spans="1:22" x14ac:dyDescent="0.2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</row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Banque</vt:lpstr>
      <vt:lpstr>Bilan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de Richemont</dc:creator>
  <cp:lastModifiedBy>Laurent de Richemont</cp:lastModifiedBy>
  <cp:lastPrinted>2022-08-09T06:09:10Z</cp:lastPrinted>
  <dcterms:created xsi:type="dcterms:W3CDTF">2016-03-03T16:52:46Z</dcterms:created>
  <dcterms:modified xsi:type="dcterms:W3CDTF">2026-09-02T06:04:13Z</dcterms:modified>
</cp:coreProperties>
</file>